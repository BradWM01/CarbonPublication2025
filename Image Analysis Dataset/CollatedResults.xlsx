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"/>
    </mc:Choice>
  </mc:AlternateContent>
  <xr:revisionPtr revIDLastSave="218" documentId="8_{B0A41B07-B1FB-4302-B2F1-1446BEC48197}" xr6:coauthVersionLast="47" xr6:coauthVersionMax="47" xr10:uidLastSave="{6812367C-F194-4CDD-BA99-4DF19BF4287D}"/>
  <bookViews>
    <workbookView xWindow="-108" yWindow="-108" windowWidth="23256" windowHeight="13896" activeTab="1" xr2:uid="{11E12217-8ADE-4B5C-B2D4-38EF6CB0FD01}"/>
  </bookViews>
  <sheets>
    <sheet name="Chart1" sheetId="2" r:id="rId1"/>
    <sheet name="Sheet1" sheetId="1" r:id="rId2"/>
  </sheets>
  <definedNames>
    <definedName name="_xlchart.v1.0" hidden="1">Sheet1!$F$11:$F$16</definedName>
    <definedName name="_xlchart.v1.1" hidden="1">Sheet1!$A$30</definedName>
    <definedName name="_xlchart.v1.2" hidden="1">Sheet1!$A$31:$A$36</definedName>
    <definedName name="_xlchart.v1.3" hidden="1">Sheet1!$B$30</definedName>
    <definedName name="_xlchart.v1.4" hidden="1">Sheet1!$B$31:$B$36</definedName>
    <definedName name="_xlchart.v1.5" hidden="1">Sheet1!$F$11:$F$16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2" i="1"/>
  <c r="H15" i="1"/>
  <c r="H16" i="1"/>
  <c r="H11" i="1"/>
  <c r="A36" i="1"/>
  <c r="A35" i="1"/>
  <c r="A34" i="1"/>
  <c r="A32" i="1"/>
  <c r="A31" i="1"/>
  <c r="B36" i="1"/>
  <c r="B35" i="1"/>
  <c r="B34" i="1"/>
  <c r="B33" i="1"/>
  <c r="B32" i="1"/>
  <c r="B31" i="1"/>
  <c r="A33" i="1"/>
  <c r="F13" i="1"/>
  <c r="F15" i="1"/>
  <c r="F11" i="1"/>
  <c r="F12" i="1"/>
  <c r="F14" i="1"/>
  <c r="F16" i="1"/>
  <c r="I13" i="1"/>
  <c r="I11" i="1"/>
  <c r="I12" i="1"/>
  <c r="I14" i="1"/>
  <c r="I15" i="1"/>
  <c r="I16" i="1"/>
</calcChain>
</file>

<file path=xl/sharedStrings.xml><?xml version="1.0" encoding="utf-8"?>
<sst xmlns="http://schemas.openxmlformats.org/spreadsheetml/2006/main" count="34" uniqueCount="23">
  <si>
    <t>Sample</t>
  </si>
  <si>
    <t>n</t>
  </si>
  <si>
    <t>Total Area</t>
  </si>
  <si>
    <t>Average Size</t>
  </si>
  <si>
    <t>Porosity (%)</t>
  </si>
  <si>
    <t>IG110B</t>
  </si>
  <si>
    <t>IG110C</t>
  </si>
  <si>
    <t>IG110F</t>
  </si>
  <si>
    <t>IG430B</t>
  </si>
  <si>
    <t>IG430C</t>
  </si>
  <si>
    <t>IG430F</t>
  </si>
  <si>
    <t>IG430C Redone</t>
  </si>
  <si>
    <t>OLD DATA</t>
  </si>
  <si>
    <t>NEW DATA</t>
  </si>
  <si>
    <t>EQUAL SIZE (1350X950µm)</t>
  </si>
  <si>
    <t>0.95% Threshold</t>
  </si>
  <si>
    <t>2µm  min diameter</t>
  </si>
  <si>
    <t>% of Channel Porosity &gt; 15µm dia.</t>
  </si>
  <si>
    <t>Previous Max Dia's Used</t>
  </si>
  <si>
    <t>Porosity % Change Old vs New</t>
  </si>
  <si>
    <t>% Change Max Pore Dia. Old vs New</t>
  </si>
  <si>
    <t>Channel Porosity (%)</t>
  </si>
  <si>
    <t>Channel Porosity (%) &lt;  15µm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</si>
</sst>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EE0000"/>
      <name val="Liberation Sans"/>
    </font>
    <font>
      <b/>
      <sz val="10"/>
      <color theme="9"/>
      <name val="Liberation Sans"/>
    </font>
    <font>
      <b/>
      <sz val="10"/>
      <color theme="4" tint="-0.249977111117893"/>
      <name val="Liberation Sans"/>
    </font>
    <font>
      <sz val="10"/>
      <color theme="4" tint="-0.249977111117893"/>
      <name val="Liberation Sans"/>
    </font>
    <font>
      <sz val="10"/>
      <color theme="2" tint="-0.499984740745262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4" fillId="0" borderId="0" xfId="0" applyFont="1"/>
    <xf numFmtId="0" fontId="15" fillId="0" borderId="0" xfId="0" applyFont="1"/>
    <xf numFmtId="0" fontId="16" fillId="0" borderId="2" xfId="0" applyFont="1" applyBorder="1"/>
    <xf numFmtId="0" fontId="17" fillId="9" borderId="0" xfId="0" applyFont="1" applyFill="1"/>
    <xf numFmtId="0" fontId="17" fillId="0" borderId="0" xfId="0" applyFont="1"/>
    <xf numFmtId="0" fontId="17" fillId="0" borderId="3" xfId="0" applyFont="1" applyBorder="1"/>
    <xf numFmtId="0" fontId="18" fillId="0" borderId="0" xfId="0" applyFont="1"/>
    <xf numFmtId="2" fontId="0" fillId="0" borderId="0" xfId="0" applyNumberFormat="1"/>
  </cellXfs>
  <cellStyles count="20">
    <cellStyle name="Accent" xfId="7" xr:uid="{1B683C8A-9924-4D6A-9AC9-3A46A3BCC134}"/>
    <cellStyle name="Accent 1" xfId="8" xr:uid="{545B9871-64FD-45A7-B389-EEE346E8A1D9}"/>
    <cellStyle name="Accent 2" xfId="9" xr:uid="{77D07FD3-D103-421D-B6DA-13FC34CFFE56}"/>
    <cellStyle name="Accent 3" xfId="10" xr:uid="{4D78F57F-F24C-45F8-A925-3B1ECE39C76D}"/>
    <cellStyle name="Bad" xfId="4" builtinId="27" customBuiltin="1"/>
    <cellStyle name="Default" xfId="11" xr:uid="{F73EE15F-07CA-4D8F-9742-CC84BBB7CA33}"/>
    <cellStyle name="Error" xfId="12" xr:uid="{1EE509AD-A97A-4F95-808B-57FB1DF7F6F9}"/>
    <cellStyle name="Footnote" xfId="13" xr:uid="{F8FFF449-0765-496D-8931-087F1AC73569}"/>
    <cellStyle name="Good" xfId="3" builtinId="26" customBuiltin="1"/>
    <cellStyle name="Heading" xfId="14" xr:uid="{F2C18211-F33E-42AF-8239-CA6C9C87E036}"/>
    <cellStyle name="Heading 1" xfId="1" builtinId="16" customBuiltin="1"/>
    <cellStyle name="Heading 2" xfId="2" builtinId="17" customBuiltin="1"/>
    <cellStyle name="Hyperlink" xfId="15" xr:uid="{E02DEC8A-B2AE-4061-AE6B-151B32824B6F}"/>
    <cellStyle name="Neutral" xfId="5" builtinId="28" customBuiltin="1"/>
    <cellStyle name="Normal" xfId="0" builtinId="0" customBuiltin="1"/>
    <cellStyle name="Note" xfId="6" builtinId="10" customBuiltin="1"/>
    <cellStyle name="Result" xfId="16" xr:uid="{B4A59CC8-CDE5-4E8B-AB3F-C5194E1B52C7}"/>
    <cellStyle name="Status" xfId="17" xr:uid="{B726BAE1-78CB-4513-A608-558CAB71A3B2}"/>
    <cellStyle name="Text" xfId="18" xr:uid="{4974E019-7CF9-4F61-A99B-7D18DDA65F89}"/>
    <cellStyle name="Warning" xfId="19" xr:uid="{9854E6A8-D967-4F98-B9B7-5C6DDDF9DB17}"/>
  </cellStyles>
  <dxfs count="4"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836783"/>
        <c:axId val="1714838223"/>
      </c:barChart>
      <c:catAx>
        <c:axId val="171483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38223"/>
        <c:crosses val="autoZero"/>
        <c:auto val="1"/>
        <c:lblAlgn val="ctr"/>
        <c:lblOffset val="100"/>
        <c:noMultiLvlLbl val="0"/>
      </c:catAx>
      <c:valAx>
        <c:axId val="17148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3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Area vs Avg Size IG110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Sheet1!$C$2:$C$4</c:f>
              <c:numCache>
                <c:formatCode>General</c:formatCode>
                <c:ptCount val="3"/>
                <c:pt idx="0">
                  <c:v>41090.550000000003</c:v>
                </c:pt>
                <c:pt idx="1">
                  <c:v>49754.52</c:v>
                </c:pt>
                <c:pt idx="2">
                  <c:v>50734.55</c:v>
                </c:pt>
              </c:numCache>
            </c:numRef>
          </c:xVal>
          <c:yVal>
            <c:numRef>
              <c:f>Sheet1!$D$2:$D$4</c:f>
              <c:numCache>
                <c:formatCode>General</c:formatCode>
                <c:ptCount val="3"/>
                <c:pt idx="0">
                  <c:v>4.7320000000000002</c:v>
                </c:pt>
                <c:pt idx="1">
                  <c:v>7.032</c:v>
                </c:pt>
                <c:pt idx="2">
                  <c:v>6.1159999999999997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F-4BEC-9ADE-E3681094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38623"/>
        <c:axId val="131327679"/>
      </c:scatterChart>
      <c:valAx>
        <c:axId val="5063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27679"/>
        <c:crosses val="autoZero"/>
        <c:crossBetween val="midCat"/>
      </c:valAx>
      <c:valAx>
        <c:axId val="13132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Area vs Avg Size IG430</a:t>
            </a:r>
          </a:p>
          <a:p>
            <a:pPr>
              <a:defRPr/>
            </a:pP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Sheet1!$C$5:$C$7</c:f>
              <c:numCache>
                <c:formatCode>General</c:formatCode>
                <c:ptCount val="3"/>
                <c:pt idx="0">
                  <c:v>32983.31</c:v>
                </c:pt>
                <c:pt idx="1">
                  <c:v>40693.160000000003</c:v>
                </c:pt>
                <c:pt idx="2">
                  <c:v>56793.81</c:v>
                </c:pt>
              </c:numCache>
            </c:numRef>
          </c:xVal>
          <c:yVal>
            <c:numRef>
              <c:f>Sheet1!$D$5:$D$7</c:f>
              <c:numCache>
                <c:formatCode>General</c:formatCode>
                <c:ptCount val="3"/>
                <c:pt idx="0">
                  <c:v>4.8159999999999998</c:v>
                </c:pt>
                <c:pt idx="1">
                  <c:v>6.4409999999999998</c:v>
                </c:pt>
                <c:pt idx="2">
                  <c:v>8.3290000000000006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0-4540-94CE-D8665B7A2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03695"/>
        <c:axId val="1633632351"/>
      </c:scatterChart>
      <c:valAx>
        <c:axId val="12940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32351"/>
        <c:crosses val="autoZero"/>
        <c:crossBetween val="midCat"/>
      </c:valAx>
      <c:valAx>
        <c:axId val="16336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Area VS Pore</a:t>
            </a:r>
            <a:r>
              <a:rPr lang="en-GB" baseline="0"/>
              <a:t> Number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 Area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8684</c:v>
                </c:pt>
                <c:pt idx="1">
                  <c:v>7075</c:v>
                </c:pt>
                <c:pt idx="2">
                  <c:v>8296</c:v>
                </c:pt>
                <c:pt idx="3">
                  <c:v>6848</c:v>
                </c:pt>
                <c:pt idx="4">
                  <c:v>6318</c:v>
                </c:pt>
                <c:pt idx="5">
                  <c:v>6819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41090.550000000003</c:v>
                </c:pt>
                <c:pt idx="1">
                  <c:v>49754.52</c:v>
                </c:pt>
                <c:pt idx="2">
                  <c:v>50734.55</c:v>
                </c:pt>
                <c:pt idx="3">
                  <c:v>32983.31</c:v>
                </c:pt>
                <c:pt idx="4">
                  <c:v>40693.160000000003</c:v>
                </c:pt>
                <c:pt idx="5">
                  <c:v>56793.81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6-4860-B6C4-9BD7BA604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49567"/>
        <c:axId val="129750527"/>
      </c:scatterChart>
      <c:valAx>
        <c:axId val="12974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0527"/>
        <c:crosses val="autoZero"/>
        <c:crossBetween val="midCat"/>
      </c:valAx>
      <c:valAx>
        <c:axId val="1297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4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Size vs Total Porosity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Average Size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Sheet1!$C$2:$C$7</c:f>
              <c:numCache>
                <c:formatCode>General</c:formatCode>
                <c:ptCount val="6"/>
                <c:pt idx="0">
                  <c:v>41090.550000000003</c:v>
                </c:pt>
                <c:pt idx="1">
                  <c:v>49754.52</c:v>
                </c:pt>
                <c:pt idx="2">
                  <c:v>50734.55</c:v>
                </c:pt>
                <c:pt idx="3">
                  <c:v>32983.31</c:v>
                </c:pt>
                <c:pt idx="4">
                  <c:v>40693.160000000003</c:v>
                </c:pt>
                <c:pt idx="5">
                  <c:v>56793.81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4.7320000000000002</c:v>
                </c:pt>
                <c:pt idx="1">
                  <c:v>7.032</c:v>
                </c:pt>
                <c:pt idx="2">
                  <c:v>6.1159999999999997</c:v>
                </c:pt>
                <c:pt idx="3">
                  <c:v>4.8159999999999998</c:v>
                </c:pt>
                <c:pt idx="4">
                  <c:v>6.4409999999999998</c:v>
                </c:pt>
                <c:pt idx="5">
                  <c:v>8.3290000000000006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9-43B2-BB8F-6D4C88827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975663"/>
        <c:axId val="1634978063"/>
      </c:scatterChart>
      <c:valAx>
        <c:axId val="163497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78063"/>
        <c:crosses val="autoZero"/>
        <c:crossBetween val="midCat"/>
      </c:valAx>
      <c:valAx>
        <c:axId val="16349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7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</cx:chartData>
  <cx:chart>
    <cx:title pos="t" align="ctr" overlay="0"/>
    <cx:plotArea>
      <cx:plotAreaRegion>
        <cx:series layoutId="boxWhisker" uniqueId="{CCDB7787-C162-4FBB-8590-905F758A443A}">
          <cx:tx>
            <cx:txData>
              <cx:f>_xlchart.v1.1</cx:f>
              <cx:v>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8BD2343-86D9-4E15-BF82-F5CFA4F1057D}">
          <cx:tx>
            <cx:txData>
              <cx:f>_xlchart.v1.3</cx:f>
              <cx:v>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4FCD1134-4414-4E3A-B3E8-D13922205F0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2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23F7F3-BE91-431B-9BC1-EF69AC987DCA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B5A56-21E5-24FB-0E16-976EF39979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193964</xdr:colOff>
      <xdr:row>26</xdr:row>
      <xdr:rowOff>10092</xdr:rowOff>
    </xdr:from>
    <xdr:to>
      <xdr:col>25</xdr:col>
      <xdr:colOff>499039</xdr:colOff>
      <xdr:row>42</xdr:row>
      <xdr:rowOff>88540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08624-48D8-E28F-D5BC-7476A56FC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7753</xdr:colOff>
      <xdr:row>7</xdr:row>
      <xdr:rowOff>70281</xdr:rowOff>
    </xdr:from>
    <xdr:to>
      <xdr:col>26</xdr:col>
      <xdr:colOff>306406</xdr:colOff>
      <xdr:row>23</xdr:row>
      <xdr:rowOff>149004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02A8ED-8262-D0DD-7664-604A8EB1C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581891</xdr:colOff>
      <xdr:row>45</xdr:row>
      <xdr:rowOff>162296</xdr:rowOff>
    </xdr:from>
    <xdr:to>
      <xdr:col>34</xdr:col>
      <xdr:colOff>249382</xdr:colOff>
      <xdr:row>62</xdr:row>
      <xdr:rowOff>47502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361E27-C6E5-90F0-CC7D-C69453526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601683</xdr:colOff>
      <xdr:row>28</xdr:row>
      <xdr:rowOff>96982</xdr:rowOff>
    </xdr:from>
    <xdr:to>
      <xdr:col>34</xdr:col>
      <xdr:colOff>312717</xdr:colOff>
      <xdr:row>44</xdr:row>
      <xdr:rowOff>148441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E6FE0C-CF07-C256-EA6C-E32FC9CAA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382444</xdr:colOff>
      <xdr:row>43</xdr:row>
      <xdr:rowOff>36946</xdr:rowOff>
    </xdr:from>
    <xdr:to>
      <xdr:col>4</xdr:col>
      <xdr:colOff>460376</xdr:colOff>
      <xdr:row>59</xdr:row>
      <xdr:rowOff>152592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29045A-3B21-6E5D-C675-0912B9AA7C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444" y="7245466"/>
              <a:ext cx="4573732" cy="2797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729651</xdr:colOff>
      <xdr:row>20</xdr:row>
      <xdr:rowOff>94891</xdr:rowOff>
    </xdr:from>
    <xdr:to>
      <xdr:col>6</xdr:col>
      <xdr:colOff>32350</xdr:colOff>
      <xdr:row>37</xdr:row>
      <xdr:rowOff>27317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BD59D1-68EB-FBC2-C4F3-3F52F2BD29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2425" y="340168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C8C9C-AF10-45C9-A640-46939E4BE130}" name="Table1" displayName="Table1" ref="A10:I16" totalsRowShown="0">
  <autoFilter ref="A10:I16" xr:uid="{E4CC8C9C-AF10-45C9-A640-46939E4BE130}"/>
  <tableColumns count="9">
    <tableColumn id="1" xr3:uid="{2DEE4E80-4ABD-4FBB-A13C-CFA3B67F3102}" name="Sample"/>
    <tableColumn id="2" xr3:uid="{82638AD6-9875-4B1D-96CF-493918EB85D0}" name="n"/>
    <tableColumn id="3" xr3:uid="{DF3978B8-74C6-46B7-A65B-A4D350D2F5A6}" name="Total Area"/>
    <tableColumn id="4" xr3:uid="{B878383E-E61F-470E-B139-3A73528F4EC7}" name="Average Size"/>
    <tableColumn id="5" xr3:uid="{7DC4A3B6-4BB8-430C-9AF1-6F11B5E0194E}" name="Channel Porosity (%)"/>
    <tableColumn id="9" xr3:uid="{CD980273-80A5-479E-981D-C4887D0EC91C}" name="Channel Porosity (%) &lt;  15µm" dataDxfId="3">
      <calculatedColumnFormula>Table1[[#This Row],[Channel Porosity (%)]]-(Table1[[#This Row],[Channel Porosity (%)]]*(Table1[[#This Row],[% of Channel Porosity &gt; 15µm dia.]]/100))</calculatedColumnFormula>
    </tableColumn>
    <tableColumn id="6" xr3:uid="{8A3C9B3E-D972-4C5C-A17F-0806377570E9}" name="% of Channel Porosity &gt; 15µm dia." dataDxfId="2"/>
    <tableColumn id="7" xr3:uid="{D8EF39D0-86A0-4155-92BB-5F0DB347DCB3}" name="Porosity % Change Old vs New" dataDxfId="1">
      <calculatedColumnFormula>((F11-E2)/E2)*100</calculatedColumnFormula>
    </tableColumn>
    <tableColumn id="8" xr3:uid="{9832FC54-948F-4DA5-B03D-63D5920803C9}" name="% Change Max Pore Dia. Old vs New" dataDxfId="0">
      <calculatedColumnFormula>((15-F2)/F2)*100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C559-74D9-4D53-86F6-180E5F382428}">
  <dimension ref="A1:I36"/>
  <sheetViews>
    <sheetView tabSelected="1" topLeftCell="A12" zoomScale="106" workbookViewId="0">
      <selection activeCell="G32" sqref="G32"/>
    </sheetView>
  </sheetViews>
  <sheetFormatPr defaultRowHeight="13.2"/>
  <cols>
    <col min="1" max="1" width="28.44140625" customWidth="1"/>
    <col min="2" max="3" width="11.88671875" customWidth="1"/>
    <col min="4" max="4" width="13.33203125" customWidth="1"/>
    <col min="5" max="5" width="27.88671875" customWidth="1"/>
    <col min="6" max="6" width="35.6640625" bestFit="1" customWidth="1"/>
    <col min="7" max="7" width="31.6640625" customWidth="1"/>
    <col min="8" max="8" width="35.88671875" bestFit="1" customWidth="1"/>
    <col min="9" max="9" width="36.88671875" bestFit="1" customWidth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18</v>
      </c>
    </row>
    <row r="2" spans="1:9">
      <c r="A2" s="9" t="s">
        <v>5</v>
      </c>
      <c r="B2" s="9">
        <v>8684</v>
      </c>
      <c r="C2" s="9">
        <v>41090.550000000003</v>
      </c>
      <c r="D2" s="9">
        <v>4.7320000000000002</v>
      </c>
      <c r="E2" s="9">
        <v>3.141</v>
      </c>
      <c r="F2" s="9">
        <v>15.476000000000001</v>
      </c>
      <c r="G2" s="3" t="s">
        <v>12</v>
      </c>
    </row>
    <row r="3" spans="1:9">
      <c r="A3" s="9" t="s">
        <v>6</v>
      </c>
      <c r="B3" s="9">
        <v>7075</v>
      </c>
      <c r="C3" s="9">
        <v>49754.52</v>
      </c>
      <c r="D3" s="9">
        <v>7.032</v>
      </c>
      <c r="E3" s="9">
        <v>3.2719999999999998</v>
      </c>
      <c r="F3" s="9">
        <v>26.215</v>
      </c>
    </row>
    <row r="4" spans="1:9">
      <c r="A4" s="9" t="s">
        <v>7</v>
      </c>
      <c r="B4" s="9">
        <v>8296</v>
      </c>
      <c r="C4" s="9">
        <v>50734.55</v>
      </c>
      <c r="D4" s="9">
        <v>6.1159999999999997</v>
      </c>
      <c r="E4" s="9">
        <v>3.3839999999999999</v>
      </c>
      <c r="F4" s="9">
        <v>24.07</v>
      </c>
    </row>
    <row r="5" spans="1:9">
      <c r="A5" s="9" t="s">
        <v>8</v>
      </c>
      <c r="B5" s="9">
        <v>6848</v>
      </c>
      <c r="C5" s="9">
        <v>32983.31</v>
      </c>
      <c r="D5" s="9">
        <v>4.8159999999999998</v>
      </c>
      <c r="E5" s="9">
        <v>2.2970000000000002</v>
      </c>
      <c r="F5" s="9">
        <v>16.241</v>
      </c>
    </row>
    <row r="6" spans="1:9">
      <c r="A6" s="9" t="s">
        <v>11</v>
      </c>
      <c r="B6" s="9">
        <v>6318</v>
      </c>
      <c r="C6" s="9">
        <v>40693.160000000003</v>
      </c>
      <c r="D6" s="9">
        <v>6.4409999999999998</v>
      </c>
      <c r="E6" s="9">
        <v>2.3559999999999999</v>
      </c>
      <c r="F6" s="9">
        <v>13.599</v>
      </c>
    </row>
    <row r="7" spans="1:9">
      <c r="A7" s="9" t="s">
        <v>10</v>
      </c>
      <c r="B7" s="9">
        <v>6819</v>
      </c>
      <c r="C7" s="9">
        <v>56793.81</v>
      </c>
      <c r="D7" s="9">
        <v>8.3290000000000006</v>
      </c>
      <c r="E7" s="9">
        <v>3.6640000000000001</v>
      </c>
      <c r="F7" s="9">
        <v>18.422000000000001</v>
      </c>
    </row>
    <row r="10" spans="1:9">
      <c r="A10" t="s">
        <v>0</v>
      </c>
      <c r="B10" t="s">
        <v>1</v>
      </c>
      <c r="C10" t="s">
        <v>2</v>
      </c>
      <c r="D10" t="s">
        <v>3</v>
      </c>
      <c r="E10" t="s">
        <v>21</v>
      </c>
      <c r="F10" t="s">
        <v>22</v>
      </c>
      <c r="G10" t="s">
        <v>17</v>
      </c>
      <c r="H10" t="s">
        <v>19</v>
      </c>
      <c r="I10" t="s">
        <v>20</v>
      </c>
    </row>
    <row r="11" spans="1:9">
      <c r="A11" t="s">
        <v>5</v>
      </c>
      <c r="B11">
        <v>4445</v>
      </c>
      <c r="C11">
        <v>33883.21</v>
      </c>
      <c r="D11">
        <v>7.6230000000000002</v>
      </c>
      <c r="E11">
        <v>2.6419999999999999</v>
      </c>
      <c r="F11" s="10">
        <f>Table1[[#This Row],[Channel Porosity (%)]]-(Table1[[#This Row],[Channel Porosity (%)]]*(Table1[[#This Row],[% of Channel Porosity &gt; 15µm dia.]]/100))</f>
        <v>2.6276579234918982</v>
      </c>
      <c r="G11" s="1">
        <v>0.5428492243793166</v>
      </c>
      <c r="H11">
        <f t="shared" ref="H11:H16" si="0">((F11-E2)/E2)*100</f>
        <v>-16.343268911432723</v>
      </c>
      <c r="I11">
        <f t="shared" ref="I11:I16" si="1">((15-F2)/F2)*100</f>
        <v>-3.0757301628327784</v>
      </c>
    </row>
    <row r="12" spans="1:9">
      <c r="A12" t="s">
        <v>6</v>
      </c>
      <c r="B12">
        <v>3733</v>
      </c>
      <c r="C12">
        <v>38276.39</v>
      </c>
      <c r="D12">
        <v>10.254</v>
      </c>
      <c r="E12">
        <v>2.9849999999999999</v>
      </c>
      <c r="F12" s="10">
        <f>Table1[[#This Row],[Channel Porosity (%)]]-(Table1[[#This Row],[Channel Porosity (%)]]*(Table1[[#This Row],[% of Channel Porosity &gt; 15µm dia.]]/100))</f>
        <v>2.8944355423800414</v>
      </c>
      <c r="G12" s="1">
        <v>3.0339851798980999</v>
      </c>
      <c r="H12">
        <f>((F12-E3)/E3)*100</f>
        <v>-11.53925603972978</v>
      </c>
      <c r="I12">
        <f t="shared" si="1"/>
        <v>-42.780850658020221</v>
      </c>
    </row>
    <row r="13" spans="1:9">
      <c r="A13" t="s">
        <v>7</v>
      </c>
      <c r="B13">
        <v>4285</v>
      </c>
      <c r="C13">
        <v>39161.35</v>
      </c>
      <c r="D13">
        <v>9.1389999999999993</v>
      </c>
      <c r="E13">
        <v>3.0539999999999998</v>
      </c>
      <c r="F13" s="10">
        <f>Table1[[#This Row],[Channel Porosity (%)]]-(Table1[[#This Row],[Channel Porosity (%)]]*(Table1[[#This Row],[% of Channel Porosity &gt; 15µm dia.]]/100))</f>
        <v>3.0381932093760811</v>
      </c>
      <c r="G13" s="1">
        <v>0.51757664125470748</v>
      </c>
      <c r="H13">
        <f>((F13-E4)/E4)*100</f>
        <v>-10.218876791486963</v>
      </c>
      <c r="I13">
        <f t="shared" si="1"/>
        <v>-37.681761528874119</v>
      </c>
    </row>
    <row r="14" spans="1:9">
      <c r="A14" t="s">
        <v>8</v>
      </c>
      <c r="B14">
        <v>3400</v>
      </c>
      <c r="C14">
        <v>30560.21</v>
      </c>
      <c r="D14">
        <v>8.9879999999999995</v>
      </c>
      <c r="E14">
        <v>2.383</v>
      </c>
      <c r="F14" s="10">
        <f>Table1[[#This Row],[Channel Porosity (%)]]-(Table1[[#This Row],[Channel Porosity (%)]]*(Table1[[#This Row],[% of Channel Porosity &gt; 15µm dia.]]/100))</f>
        <v>2.3366441065031949</v>
      </c>
      <c r="G14" s="2">
        <v>1.9452745907178</v>
      </c>
      <c r="H14">
        <f>((F14-E5)/E5)*100</f>
        <v>1.7259079888199702</v>
      </c>
      <c r="I14">
        <f t="shared" si="1"/>
        <v>-7.6411551012868646</v>
      </c>
    </row>
    <row r="15" spans="1:9">
      <c r="A15" t="s">
        <v>9</v>
      </c>
      <c r="B15">
        <v>4732</v>
      </c>
      <c r="C15">
        <v>30463.82</v>
      </c>
      <c r="D15">
        <v>6.4379999999999997</v>
      </c>
      <c r="E15">
        <v>2.375</v>
      </c>
      <c r="F15" s="10">
        <f>Table1[[#This Row],[Channel Porosity (%)]]-(Table1[[#This Row],[Channel Porosity (%)]]*(Table1[[#This Row],[% of Channel Porosity &gt; 15µm dia.]]/100))</f>
        <v>2.375</v>
      </c>
      <c r="G15" s="1">
        <v>0</v>
      </c>
      <c r="H15">
        <f t="shared" si="0"/>
        <v>0.80645161290323131</v>
      </c>
      <c r="I15">
        <f t="shared" si="1"/>
        <v>10.302228105007719</v>
      </c>
    </row>
    <row r="16" spans="1:9">
      <c r="A16" t="s">
        <v>10</v>
      </c>
      <c r="B16">
        <v>3505</v>
      </c>
      <c r="C16">
        <v>43266.14</v>
      </c>
      <c r="D16">
        <v>12.343999999999999</v>
      </c>
      <c r="E16">
        <v>3.3740000000000001</v>
      </c>
      <c r="F16" s="10">
        <f>Table1[[#This Row],[Channel Porosity (%)]]-(Table1[[#This Row],[Channel Porosity (%)]]*(Table1[[#This Row],[% of Channel Porosity &gt; 15µm dia.]]/100))</f>
        <v>3.3740000000000001</v>
      </c>
      <c r="G16" s="1">
        <v>0</v>
      </c>
      <c r="H16">
        <f t="shared" si="0"/>
        <v>-7.9148471615720526</v>
      </c>
      <c r="I16">
        <f t="shared" si="1"/>
        <v>-18.575616111171428</v>
      </c>
    </row>
    <row r="18" spans="1:2">
      <c r="A18" s="4" t="s">
        <v>13</v>
      </c>
    </row>
    <row r="19" spans="1:2">
      <c r="A19" s="4" t="s">
        <v>14</v>
      </c>
    </row>
    <row r="20" spans="1:2">
      <c r="A20" s="4" t="s">
        <v>15</v>
      </c>
    </row>
    <row r="21" spans="1:2">
      <c r="A21" s="4" t="s">
        <v>16</v>
      </c>
    </row>
    <row r="30" spans="1:2">
      <c r="A30" s="9" t="s">
        <v>1</v>
      </c>
      <c r="B30" s="5" t="s">
        <v>1</v>
      </c>
    </row>
    <row r="31" spans="1:2">
      <c r="A31" s="9">
        <f>8684/8684</f>
        <v>1</v>
      </c>
      <c r="B31" s="6">
        <f>4445/4732</f>
        <v>0.93934911242603547</v>
      </c>
    </row>
    <row r="32" spans="1:2">
      <c r="A32" s="9">
        <f>7075/8684</f>
        <v>0.81471672040534315</v>
      </c>
      <c r="B32" s="7">
        <f>3733/4732</f>
        <v>0.7888841927303466</v>
      </c>
    </row>
    <row r="33" spans="1:2">
      <c r="A33" s="9">
        <f>8296/8864</f>
        <v>0.9359205776173285</v>
      </c>
      <c r="B33" s="6">
        <f>4285/4732</f>
        <v>0.90553677092138629</v>
      </c>
    </row>
    <row r="34" spans="1:2">
      <c r="A34" s="9">
        <f>6848/8684</f>
        <v>0.78857669276830955</v>
      </c>
      <c r="B34" s="7">
        <f>3400/4732</f>
        <v>0.71851225697379539</v>
      </c>
    </row>
    <row r="35" spans="1:2">
      <c r="A35" s="9">
        <f>6318/8684</f>
        <v>0.72754491017964074</v>
      </c>
      <c r="B35" s="6">
        <f>4732/4732</f>
        <v>1</v>
      </c>
    </row>
    <row r="36" spans="1:2">
      <c r="A36" s="9">
        <f>6819/8684</f>
        <v>0.78523721787194845</v>
      </c>
      <c r="B36" s="8">
        <f>3505/4732</f>
        <v>0.74070160608622149</v>
      </c>
    </row>
  </sheetData>
  <pageMargins left="0" right="0" top="0.39370000000000011" bottom="0.39370000000000011" header="0" footer="0"/>
  <headerFooter>
    <oddHeader>&amp;C&amp;A</oddHeader>
    <oddFooter>&amp;CPage &amp;P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Moresby-White</dc:creator>
  <cp:lastModifiedBy>Bradley Moresby-White</cp:lastModifiedBy>
  <cp:revision>7</cp:revision>
  <dcterms:created xsi:type="dcterms:W3CDTF">2025-04-14T11:59:58Z</dcterms:created>
  <dcterms:modified xsi:type="dcterms:W3CDTF">2025-07-06T13:26:10Z</dcterms:modified>
</cp:coreProperties>
</file>