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cuments\Peter papers\Bradley summer 25\Katie data\"/>
    </mc:Choice>
  </mc:AlternateContent>
  <xr:revisionPtr revIDLastSave="0" documentId="13_ncr:1_{E43218A5-8432-4FAD-90A0-5207F1BAEB36}" xr6:coauthVersionLast="47" xr6:coauthVersionMax="47" xr10:uidLastSave="{00000000-0000-0000-0000-000000000000}"/>
  <bookViews>
    <workbookView xWindow="-120" yWindow="-120" windowWidth="29040" windowHeight="15720" activeTab="2" xr2:uid="{5319A125-431A-4E10-8405-CE85F7837F9B}"/>
  </bookViews>
  <sheets>
    <sheet name="data" sheetId="1" r:id="rId1"/>
    <sheet name="comparison chart" sheetId="2" r:id="rId2"/>
    <sheet name="comparison chart 43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22" i="1"/>
  <c r="G3" i="1" s="1"/>
</calcChain>
</file>

<file path=xl/sharedStrings.xml><?xml version="1.0" encoding="utf-8"?>
<sst xmlns="http://schemas.openxmlformats.org/spreadsheetml/2006/main" count="23" uniqueCount="13">
  <si>
    <t>IG110</t>
  </si>
  <si>
    <t xml:space="preserve"> trimmed PoreXY</t>
  </si>
  <si>
    <t xml:space="preserve">Hg porosimetry </t>
  </si>
  <si>
    <t xml:space="preserve"> PoreXY</t>
  </si>
  <si>
    <t>IG430 thinned but not trimmed</t>
  </si>
  <si>
    <t>Calculations</t>
  </si>
  <si>
    <t xml:space="preserve">IG430 </t>
  </si>
  <si>
    <t>nuclear graphite</t>
  </si>
  <si>
    <t>'final data' from Katie</t>
  </si>
  <si>
    <t>IG430</t>
  </si>
  <si>
    <t>IG430 trimmed to IG110 range</t>
  </si>
  <si>
    <t>IG430 corrected</t>
  </si>
  <si>
    <t>IG430 corrected to IG110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</si>
</sst>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6" fillId="0" borderId="0" xfId="0" quotePrefix="1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9900"/>
      <color rgb="FFCCFFCC"/>
      <color rgb="FF66FFFF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329533435186273E-2"/>
          <c:y val="3.888888888888889E-2"/>
          <c:w val="0.92211822775884356"/>
          <c:h val="0.9052270341207349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IG110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data!$A$5:$A$37</c:f>
              <c:numCache>
                <c:formatCode>General</c:formatCode>
                <c:ptCount val="33"/>
                <c:pt idx="0">
                  <c:v>89.139717000000005</c:v>
                </c:pt>
                <c:pt idx="1">
                  <c:v>72.453464999999994</c:v>
                </c:pt>
                <c:pt idx="2">
                  <c:v>58.832213000000003</c:v>
                </c:pt>
                <c:pt idx="3">
                  <c:v>42.880622000000002</c:v>
                </c:pt>
                <c:pt idx="4">
                  <c:v>31.766853999999999</c:v>
                </c:pt>
                <c:pt idx="5">
                  <c:v>21.919602999999999</c:v>
                </c:pt>
                <c:pt idx="6">
                  <c:v>17.635556000000001</c:v>
                </c:pt>
                <c:pt idx="7">
                  <c:v>12.401394</c:v>
                </c:pt>
                <c:pt idx="8">
                  <c:v>9.7468880000000002</c:v>
                </c:pt>
                <c:pt idx="9">
                  <c:v>7.5853809999999999</c:v>
                </c:pt>
                <c:pt idx="10">
                  <c:v>5.9378500000000001</c:v>
                </c:pt>
                <c:pt idx="11">
                  <c:v>4.545134</c:v>
                </c:pt>
                <c:pt idx="12">
                  <c:v>3.6623640000000002</c:v>
                </c:pt>
                <c:pt idx="13">
                  <c:v>3.0445150000000001</c:v>
                </c:pt>
                <c:pt idx="14">
                  <c:v>2.984</c:v>
                </c:pt>
                <c:pt idx="15">
                  <c:v>2.9234849999999999</c:v>
                </c:pt>
                <c:pt idx="16">
                  <c:v>2.841485</c:v>
                </c:pt>
                <c:pt idx="17">
                  <c:v>2.7594850000000002</c:v>
                </c:pt>
                <c:pt idx="18">
                  <c:v>2.6861959999999998</c:v>
                </c:pt>
                <c:pt idx="19">
                  <c:v>2.6129069999999999</c:v>
                </c:pt>
                <c:pt idx="20">
                  <c:v>2.5682969999999998</c:v>
                </c:pt>
                <c:pt idx="21">
                  <c:v>2.5236879999999999</c:v>
                </c:pt>
                <c:pt idx="22">
                  <c:v>2.4619140000000002</c:v>
                </c:pt>
                <c:pt idx="23">
                  <c:v>2.4001389999999998</c:v>
                </c:pt>
                <c:pt idx="24">
                  <c:v>0.56466000000000005</c:v>
                </c:pt>
                <c:pt idx="25">
                  <c:v>0.42465999999999998</c:v>
                </c:pt>
                <c:pt idx="26">
                  <c:v>0.32466</c:v>
                </c:pt>
                <c:pt idx="27">
                  <c:v>0.20466000000000001</c:v>
                </c:pt>
                <c:pt idx="28">
                  <c:v>0.15465999999999999</c:v>
                </c:pt>
                <c:pt idx="29">
                  <c:v>0.11466</c:v>
                </c:pt>
                <c:pt idx="30">
                  <c:v>7.4660000000000004E-2</c:v>
                </c:pt>
                <c:pt idx="31">
                  <c:v>5.466E-2</c:v>
                </c:pt>
                <c:pt idx="32">
                  <c:v>3.4660000000000003E-2</c:v>
                </c:pt>
              </c:numCache>
            </c:numRef>
          </c:xVal>
          <c:yVal>
            <c:numRef>
              <c:f>data!$B$5:$B$37</c:f>
              <c:numCache>
                <c:formatCode>General</c:formatCode>
                <c:ptCount val="33"/>
                <c:pt idx="0">
                  <c:v>0</c:v>
                </c:pt>
                <c:pt idx="1">
                  <c:v>0.75700000000000001</c:v>
                </c:pt>
                <c:pt idx="2">
                  <c:v>2.0150000000000001</c:v>
                </c:pt>
                <c:pt idx="3">
                  <c:v>3.2440000000000002</c:v>
                </c:pt>
                <c:pt idx="4">
                  <c:v>4.2729999999999997</c:v>
                </c:pt>
                <c:pt idx="5">
                  <c:v>5.3310000000000004</c:v>
                </c:pt>
                <c:pt idx="6">
                  <c:v>5.8019999999999996</c:v>
                </c:pt>
                <c:pt idx="7">
                  <c:v>6.96</c:v>
                </c:pt>
                <c:pt idx="8">
                  <c:v>8.1460000000000008</c:v>
                </c:pt>
                <c:pt idx="9">
                  <c:v>8.4749999999999996</c:v>
                </c:pt>
                <c:pt idx="10">
                  <c:v>9.6470000000000002</c:v>
                </c:pt>
                <c:pt idx="11">
                  <c:v>11.205</c:v>
                </c:pt>
                <c:pt idx="12">
                  <c:v>12.348000000000001</c:v>
                </c:pt>
                <c:pt idx="13">
                  <c:v>16.55</c:v>
                </c:pt>
                <c:pt idx="14">
                  <c:v>20.137</c:v>
                </c:pt>
                <c:pt idx="15">
                  <c:v>23.724</c:v>
                </c:pt>
                <c:pt idx="16">
                  <c:v>30.684000000000001</c:v>
                </c:pt>
                <c:pt idx="17">
                  <c:v>37.645000000000003</c:v>
                </c:pt>
                <c:pt idx="18">
                  <c:v>45.877000000000002</c:v>
                </c:pt>
                <c:pt idx="19">
                  <c:v>54.109000000000002</c:v>
                </c:pt>
                <c:pt idx="20">
                  <c:v>62.97</c:v>
                </c:pt>
                <c:pt idx="21">
                  <c:v>71.83</c:v>
                </c:pt>
                <c:pt idx="22">
                  <c:v>77.733000000000004</c:v>
                </c:pt>
                <c:pt idx="23">
                  <c:v>83.635000000000005</c:v>
                </c:pt>
                <c:pt idx="24">
                  <c:v>98.302000000000007</c:v>
                </c:pt>
                <c:pt idx="25">
                  <c:v>98.584000000000003</c:v>
                </c:pt>
                <c:pt idx="26">
                  <c:v>98.828000000000003</c:v>
                </c:pt>
                <c:pt idx="27">
                  <c:v>99.141999999999996</c:v>
                </c:pt>
                <c:pt idx="28">
                  <c:v>99.337999999999994</c:v>
                </c:pt>
                <c:pt idx="29">
                  <c:v>99.524000000000001</c:v>
                </c:pt>
                <c:pt idx="30">
                  <c:v>99.744</c:v>
                </c:pt>
                <c:pt idx="31">
                  <c:v>99.869</c:v>
                </c:pt>
                <c:pt idx="3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5-48A0-9D50-C59A421AAEE4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IG430 thinned but not trimmed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data!$D$5:$D$27</c:f>
              <c:numCache>
                <c:formatCode>General</c:formatCode>
                <c:ptCount val="23"/>
                <c:pt idx="0">
                  <c:v>71.746601999999996</c:v>
                </c:pt>
                <c:pt idx="1">
                  <c:v>44.705328999999999</c:v>
                </c:pt>
                <c:pt idx="2">
                  <c:v>28.839320000000001</c:v>
                </c:pt>
                <c:pt idx="3">
                  <c:v>18.046690999999999</c:v>
                </c:pt>
                <c:pt idx="4">
                  <c:v>9.4101429999999997</c:v>
                </c:pt>
                <c:pt idx="5">
                  <c:v>4.8653829999999996</c:v>
                </c:pt>
                <c:pt idx="6">
                  <c:v>3.4640080000000002</c:v>
                </c:pt>
                <c:pt idx="7">
                  <c:v>3.3135590000000001</c:v>
                </c:pt>
                <c:pt idx="8">
                  <c:v>3.2389459999999999</c:v>
                </c:pt>
                <c:pt idx="9">
                  <c:v>3.1389</c:v>
                </c:pt>
                <c:pt idx="10">
                  <c:v>3.0388540000000002</c:v>
                </c:pt>
                <c:pt idx="11">
                  <c:v>2.9231349999999998</c:v>
                </c:pt>
                <c:pt idx="12">
                  <c:v>2.8074159999999999</c:v>
                </c:pt>
                <c:pt idx="13">
                  <c:v>2.7557999999999998</c:v>
                </c:pt>
                <c:pt idx="14">
                  <c:v>2.704183</c:v>
                </c:pt>
                <c:pt idx="15">
                  <c:v>9.1791999999999999E-2</c:v>
                </c:pt>
                <c:pt idx="16">
                  <c:v>5.7919999999999999E-2</c:v>
                </c:pt>
                <c:pt idx="17">
                  <c:v>3.0907E-2</c:v>
                </c:pt>
                <c:pt idx="18">
                  <c:v>1.0893E-2</c:v>
                </c:pt>
                <c:pt idx="19">
                  <c:v>4.0429999999999997E-3</c:v>
                </c:pt>
                <c:pt idx="20">
                  <c:v>2.49E-3</c:v>
                </c:pt>
                <c:pt idx="21">
                  <c:v>1.0640000000000001E-3</c:v>
                </c:pt>
                <c:pt idx="22">
                  <c:v>6.2600000000000004E-4</c:v>
                </c:pt>
              </c:numCache>
            </c:numRef>
          </c:xVal>
          <c:yVal>
            <c:numRef>
              <c:f>data!$E$5:$E$27</c:f>
              <c:numCache>
                <c:formatCode>General</c:formatCode>
                <c:ptCount val="23"/>
                <c:pt idx="0">
                  <c:v>0</c:v>
                </c:pt>
                <c:pt idx="1">
                  <c:v>0.98199999999999998</c:v>
                </c:pt>
                <c:pt idx="2">
                  <c:v>1.391</c:v>
                </c:pt>
                <c:pt idx="3">
                  <c:v>2.101</c:v>
                </c:pt>
                <c:pt idx="4">
                  <c:v>3.738</c:v>
                </c:pt>
                <c:pt idx="5">
                  <c:v>4.556</c:v>
                </c:pt>
                <c:pt idx="6">
                  <c:v>7.8230000000000004</c:v>
                </c:pt>
                <c:pt idx="7">
                  <c:v>15.381</c:v>
                </c:pt>
                <c:pt idx="8">
                  <c:v>21.716999999999999</c:v>
                </c:pt>
                <c:pt idx="9">
                  <c:v>27.44</c:v>
                </c:pt>
                <c:pt idx="10">
                  <c:v>33.162999999999997</c:v>
                </c:pt>
                <c:pt idx="11">
                  <c:v>43.585000000000001</c:v>
                </c:pt>
                <c:pt idx="12">
                  <c:v>54.006999999999998</c:v>
                </c:pt>
                <c:pt idx="13">
                  <c:v>58.296999999999997</c:v>
                </c:pt>
                <c:pt idx="14">
                  <c:v>62.588000000000001</c:v>
                </c:pt>
                <c:pt idx="15">
                  <c:v>98.19</c:v>
                </c:pt>
                <c:pt idx="16">
                  <c:v>98.896000000000001</c:v>
                </c:pt>
                <c:pt idx="17">
                  <c:v>99.311000000000007</c:v>
                </c:pt>
                <c:pt idx="18">
                  <c:v>99.718999999999994</c:v>
                </c:pt>
                <c:pt idx="19">
                  <c:v>99.936999999999998</c:v>
                </c:pt>
                <c:pt idx="20">
                  <c:v>99.972999999999999</c:v>
                </c:pt>
                <c:pt idx="21">
                  <c:v>99.998999999999995</c:v>
                </c:pt>
                <c:pt idx="2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F5-48A0-9D50-C59A421AAEE4}"/>
            </c:ext>
          </c:extLst>
        </c:ser>
        <c:ser>
          <c:idx val="2"/>
          <c:order val="2"/>
          <c:tx>
            <c:v>IG430 trimmed to IG110 range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data!$I$5:$I$22</c:f>
              <c:numCache>
                <c:formatCode>General</c:formatCode>
                <c:ptCount val="18"/>
                <c:pt idx="0">
                  <c:v>71.746601999999996</c:v>
                </c:pt>
                <c:pt idx="1">
                  <c:v>44.705328999999999</c:v>
                </c:pt>
                <c:pt idx="2">
                  <c:v>28.839320000000001</c:v>
                </c:pt>
                <c:pt idx="3">
                  <c:v>18.046690999999999</c:v>
                </c:pt>
                <c:pt idx="4">
                  <c:v>9.4101429999999997</c:v>
                </c:pt>
                <c:pt idx="5">
                  <c:v>4.8653829999999996</c:v>
                </c:pt>
                <c:pt idx="6">
                  <c:v>3.4640080000000002</c:v>
                </c:pt>
                <c:pt idx="7">
                  <c:v>3.3135590000000001</c:v>
                </c:pt>
                <c:pt idx="8">
                  <c:v>3.2389459999999999</c:v>
                </c:pt>
                <c:pt idx="9">
                  <c:v>3.1389</c:v>
                </c:pt>
                <c:pt idx="10">
                  <c:v>3.0388540000000002</c:v>
                </c:pt>
                <c:pt idx="11">
                  <c:v>2.9231349999999998</c:v>
                </c:pt>
                <c:pt idx="12">
                  <c:v>2.8074159999999999</c:v>
                </c:pt>
                <c:pt idx="13">
                  <c:v>2.7557999999999998</c:v>
                </c:pt>
                <c:pt idx="14">
                  <c:v>2.704183</c:v>
                </c:pt>
                <c:pt idx="15">
                  <c:v>9.1791999999999999E-2</c:v>
                </c:pt>
                <c:pt idx="16">
                  <c:v>5.7919999999999999E-2</c:v>
                </c:pt>
                <c:pt idx="17">
                  <c:v>3.0907E-2</c:v>
                </c:pt>
              </c:numCache>
            </c:numRef>
          </c:xVal>
          <c:yVal>
            <c:numRef>
              <c:f>data!$J$5:$J$22</c:f>
              <c:numCache>
                <c:formatCode>General</c:formatCode>
                <c:ptCount val="18"/>
                <c:pt idx="0">
                  <c:v>0</c:v>
                </c:pt>
                <c:pt idx="1">
                  <c:v>0.98881292102586815</c:v>
                </c:pt>
                <c:pt idx="2">
                  <c:v>1.4006504818197378</c:v>
                </c:pt>
                <c:pt idx="3">
                  <c:v>2.1155763208506611</c:v>
                </c:pt>
                <c:pt idx="4">
                  <c:v>3.7639335018275921</c:v>
                </c:pt>
                <c:pt idx="5">
                  <c:v>4.5876086234153313</c:v>
                </c:pt>
                <c:pt idx="6">
                  <c:v>7.8772744207590302</c:v>
                </c:pt>
                <c:pt idx="7">
                  <c:v>15.487710324133277</c:v>
                </c:pt>
                <c:pt idx="8">
                  <c:v>21.867668234133173</c:v>
                </c:pt>
                <c:pt idx="9">
                  <c:v>27.630373271842995</c:v>
                </c:pt>
                <c:pt idx="10">
                  <c:v>33.393078309552813</c:v>
                </c:pt>
                <c:pt idx="11">
                  <c:v>43.887384076285606</c:v>
                </c:pt>
                <c:pt idx="12">
                  <c:v>54.381689843018393</c:v>
                </c:pt>
                <c:pt idx="13">
                  <c:v>58.701453011247487</c:v>
                </c:pt>
                <c:pt idx="14">
                  <c:v>63.022223117278045</c:v>
                </c:pt>
                <c:pt idx="15">
                  <c:v>98.871222724572291</c:v>
                </c:pt>
                <c:pt idx="16">
                  <c:v>99.58212081239742</c:v>
                </c:pt>
                <c:pt idx="1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F5-48A0-9D50-C59A421AAEE4}"/>
            </c:ext>
          </c:extLst>
        </c:ser>
        <c:ser>
          <c:idx val="3"/>
          <c:order val="3"/>
          <c:tx>
            <c:v>IG110 final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3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data!$L$5:$L$44</c:f>
              <c:numCache>
                <c:formatCode>General</c:formatCode>
                <c:ptCount val="40"/>
                <c:pt idx="0">
                  <c:v>89.139717020000006</c:v>
                </c:pt>
                <c:pt idx="1">
                  <c:v>65.955395999999993</c:v>
                </c:pt>
                <c:pt idx="2">
                  <c:v>48.065533690000002</c:v>
                </c:pt>
                <c:pt idx="3">
                  <c:v>36.862288990000003</c:v>
                </c:pt>
                <c:pt idx="4">
                  <c:v>26.548832690000001</c:v>
                </c:pt>
                <c:pt idx="5">
                  <c:v>17.635555530000001</c:v>
                </c:pt>
                <c:pt idx="6">
                  <c:v>12.40139402</c:v>
                </c:pt>
                <c:pt idx="7">
                  <c:v>9.746887547</c:v>
                </c:pt>
                <c:pt idx="8">
                  <c:v>6.3369467070000001</c:v>
                </c:pt>
                <c:pt idx="9">
                  <c:v>4.9739781220000001</c:v>
                </c:pt>
                <c:pt idx="10">
                  <c:v>3.6623638710000002</c:v>
                </c:pt>
                <c:pt idx="11">
                  <c:v>3.044515278</c:v>
                </c:pt>
                <c:pt idx="12">
                  <c:v>2.9234850539999999</c:v>
                </c:pt>
                <c:pt idx="13">
                  <c:v>2.7594846730000002</c:v>
                </c:pt>
                <c:pt idx="14">
                  <c:v>2.6129069650000001</c:v>
                </c:pt>
                <c:pt idx="15">
                  <c:v>2.5236879390000002</c:v>
                </c:pt>
                <c:pt idx="16">
                  <c:v>2.4001392469999998</c:v>
                </c:pt>
                <c:pt idx="17">
                  <c:v>0.56466000000000005</c:v>
                </c:pt>
                <c:pt idx="18">
                  <c:v>0.55466000000000004</c:v>
                </c:pt>
                <c:pt idx="19">
                  <c:v>0.49465999999999999</c:v>
                </c:pt>
                <c:pt idx="20">
                  <c:v>0.42465999999999998</c:v>
                </c:pt>
                <c:pt idx="21">
                  <c:v>0.32466</c:v>
                </c:pt>
                <c:pt idx="22">
                  <c:v>0.20466000000000001</c:v>
                </c:pt>
                <c:pt idx="23">
                  <c:v>0.15465999999999999</c:v>
                </c:pt>
                <c:pt idx="24">
                  <c:v>0.11466</c:v>
                </c:pt>
                <c:pt idx="25">
                  <c:v>7.4660000000000004E-2</c:v>
                </c:pt>
                <c:pt idx="26">
                  <c:v>5.466E-2</c:v>
                </c:pt>
                <c:pt idx="27">
                  <c:v>3.4660000000000003E-2</c:v>
                </c:pt>
                <c:pt idx="28">
                  <c:v>2.4660000000000001E-2</c:v>
                </c:pt>
                <c:pt idx="29">
                  <c:v>1.4659999999999999E-2</c:v>
                </c:pt>
                <c:pt idx="30">
                  <c:v>8.2900000000000005E-3</c:v>
                </c:pt>
                <c:pt idx="31">
                  <c:v>6.2599999999999999E-3</c:v>
                </c:pt>
                <c:pt idx="32">
                  <c:v>3.9699999999999996E-3</c:v>
                </c:pt>
                <c:pt idx="33">
                  <c:v>2.6773999999999999E-3</c:v>
                </c:pt>
                <c:pt idx="34">
                  <c:v>1.8064999999999999E-3</c:v>
                </c:pt>
                <c:pt idx="35">
                  <c:v>1.266E-3</c:v>
                </c:pt>
                <c:pt idx="36">
                  <c:v>9.2369999999999996E-4</c:v>
                </c:pt>
                <c:pt idx="37">
                  <c:v>7.0589999999999997E-4</c:v>
                </c:pt>
                <c:pt idx="38">
                  <c:v>5.7039999999999999E-4</c:v>
                </c:pt>
                <c:pt idx="39">
                  <c:v>4.6250000000000002E-4</c:v>
                </c:pt>
              </c:numCache>
            </c:numRef>
          </c:xVal>
          <c:yVal>
            <c:numRef>
              <c:f>data!$M$5:$M$44</c:f>
              <c:numCache>
                <c:formatCode>General</c:formatCode>
                <c:ptCount val="40"/>
                <c:pt idx="0">
                  <c:v>1.4264859E-2</c:v>
                </c:pt>
                <c:pt idx="1">
                  <c:v>1.3408967519999999</c:v>
                </c:pt>
                <c:pt idx="2">
                  <c:v>2.5819394899999999</c:v>
                </c:pt>
                <c:pt idx="3">
                  <c:v>3.8372470879999998</c:v>
                </c:pt>
                <c:pt idx="4">
                  <c:v>4.7787277860000001</c:v>
                </c:pt>
                <c:pt idx="5">
                  <c:v>5.8057976379999996</c:v>
                </c:pt>
                <c:pt idx="6">
                  <c:v>6.9612512219999996</c:v>
                </c:pt>
                <c:pt idx="7">
                  <c:v>8.1452345239999993</c:v>
                </c:pt>
                <c:pt idx="8">
                  <c:v>9.2436286719999998</c:v>
                </c:pt>
                <c:pt idx="9">
                  <c:v>10.827028029999999</c:v>
                </c:pt>
                <c:pt idx="10">
                  <c:v>12.33910309</c:v>
                </c:pt>
                <c:pt idx="11">
                  <c:v>16.53297165</c:v>
                </c:pt>
                <c:pt idx="12">
                  <c:v>23.693930900000002</c:v>
                </c:pt>
                <c:pt idx="13">
                  <c:v>37.58790363</c:v>
                </c:pt>
                <c:pt idx="14">
                  <c:v>54.021021269999999</c:v>
                </c:pt>
                <c:pt idx="15">
                  <c:v>71.709446499999999</c:v>
                </c:pt>
                <c:pt idx="16">
                  <c:v>83.492220090000004</c:v>
                </c:pt>
                <c:pt idx="17">
                  <c:v>98.131305560000001</c:v>
                </c:pt>
                <c:pt idx="18">
                  <c:v>98.148423390000005</c:v>
                </c:pt>
                <c:pt idx="19">
                  <c:v>98.261115770000004</c:v>
                </c:pt>
                <c:pt idx="20">
                  <c:v>98.412323279999995</c:v>
                </c:pt>
                <c:pt idx="21">
                  <c:v>98.656252370000004</c:v>
                </c:pt>
                <c:pt idx="22">
                  <c:v>98.970079269999999</c:v>
                </c:pt>
                <c:pt idx="23">
                  <c:v>99.165507840000004</c:v>
                </c:pt>
                <c:pt idx="24">
                  <c:v>99.350951010000003</c:v>
                </c:pt>
                <c:pt idx="25">
                  <c:v>99.570629830000001</c:v>
                </c:pt>
                <c:pt idx="26">
                  <c:v>99.694734109999999</c:v>
                </c:pt>
                <c:pt idx="27">
                  <c:v>99.825970810000001</c:v>
                </c:pt>
                <c:pt idx="28">
                  <c:v>99.890162680000003</c:v>
                </c:pt>
                <c:pt idx="29">
                  <c:v>99.948648599999999</c:v>
                </c:pt>
                <c:pt idx="30">
                  <c:v>99.995722630000003</c:v>
                </c:pt>
                <c:pt idx="31">
                  <c:v>99.998575610000003</c:v>
                </c:pt>
                <c:pt idx="32">
                  <c:v>100.0000021</c:v>
                </c:pt>
                <c:pt idx="33">
                  <c:v>100.0000021</c:v>
                </c:pt>
                <c:pt idx="34">
                  <c:v>100.0000021</c:v>
                </c:pt>
                <c:pt idx="35">
                  <c:v>100.0000021</c:v>
                </c:pt>
                <c:pt idx="36">
                  <c:v>100.0000021</c:v>
                </c:pt>
                <c:pt idx="37">
                  <c:v>100.0000021</c:v>
                </c:pt>
                <c:pt idx="38">
                  <c:v>100.0000021</c:v>
                </c:pt>
                <c:pt idx="39">
                  <c:v>100.0000021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F5-48A0-9D50-C59A421AAEE4}"/>
            </c:ext>
          </c:extLst>
        </c:ser>
        <c:ser>
          <c:idx val="4"/>
          <c:order val="4"/>
          <c:tx>
            <c:v>IG430 final data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17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data!$O$5:$O$31</c:f>
              <c:numCache>
                <c:formatCode>General</c:formatCode>
                <c:ptCount val="27"/>
                <c:pt idx="0">
                  <c:v>71.746601499999997</c:v>
                </c:pt>
                <c:pt idx="1">
                  <c:v>59.54677453</c:v>
                </c:pt>
                <c:pt idx="2">
                  <c:v>44.705329200000001</c:v>
                </c:pt>
                <c:pt idx="3">
                  <c:v>28.83932021</c:v>
                </c:pt>
                <c:pt idx="4">
                  <c:v>18.04669118</c:v>
                </c:pt>
                <c:pt idx="5">
                  <c:v>9.4101428709999997</c:v>
                </c:pt>
                <c:pt idx="6">
                  <c:v>4.8653831649999999</c:v>
                </c:pt>
                <c:pt idx="7">
                  <c:v>3.5398443579999999</c:v>
                </c:pt>
                <c:pt idx="8">
                  <c:v>3.3881716900000001</c:v>
                </c:pt>
                <c:pt idx="9">
                  <c:v>3.2389458950000001</c:v>
                </c:pt>
                <c:pt idx="10">
                  <c:v>3.0388539890000001</c:v>
                </c:pt>
                <c:pt idx="11">
                  <c:v>2.8074161690000001</c:v>
                </c:pt>
                <c:pt idx="12">
                  <c:v>2.7041833620000002</c:v>
                </c:pt>
                <c:pt idx="13">
                  <c:v>0.56466000000000005</c:v>
                </c:pt>
                <c:pt idx="14">
                  <c:v>0.50466</c:v>
                </c:pt>
                <c:pt idx="15">
                  <c:v>0.40466000000000002</c:v>
                </c:pt>
                <c:pt idx="16">
                  <c:v>0.30465999999999999</c:v>
                </c:pt>
                <c:pt idx="17">
                  <c:v>0.20466000000000001</c:v>
                </c:pt>
                <c:pt idx="18">
                  <c:v>0.18465999999999999</c:v>
                </c:pt>
                <c:pt idx="19">
                  <c:v>0.10466</c:v>
                </c:pt>
                <c:pt idx="20">
                  <c:v>7.4660000000000004E-2</c:v>
                </c:pt>
                <c:pt idx="21">
                  <c:v>4.9399999999999999E-3</c:v>
                </c:pt>
                <c:pt idx="22">
                  <c:v>2.6773999999999999E-3</c:v>
                </c:pt>
                <c:pt idx="23">
                  <c:v>1.8064999999999999E-3</c:v>
                </c:pt>
                <c:pt idx="24">
                  <c:v>1.0757E-3</c:v>
                </c:pt>
                <c:pt idx="25">
                  <c:v>6.2969999999999996E-4</c:v>
                </c:pt>
                <c:pt idx="26">
                  <c:v>4.6250000000000002E-4</c:v>
                </c:pt>
              </c:numCache>
            </c:numRef>
          </c:xVal>
          <c:yVal>
            <c:numRef>
              <c:f>data!$P$5:$P$31</c:f>
              <c:numCache>
                <c:formatCode>General</c:formatCode>
                <c:ptCount val="27"/>
                <c:pt idx="0">
                  <c:v>1.0000000000000001E-5</c:v>
                </c:pt>
                <c:pt idx="1">
                  <c:v>2.7283174E-2</c:v>
                </c:pt>
                <c:pt idx="2">
                  <c:v>0.98219425699999996</c:v>
                </c:pt>
                <c:pt idx="3">
                  <c:v>1.3914418639999999</c:v>
                </c:pt>
                <c:pt idx="4">
                  <c:v>2.1008043829999998</c:v>
                </c:pt>
                <c:pt idx="5">
                  <c:v>3.7377948120000002</c:v>
                </c:pt>
                <c:pt idx="6">
                  <c:v>4.5562900260000001</c:v>
                </c:pt>
                <c:pt idx="7">
                  <c:v>6.6025280620000002</c:v>
                </c:pt>
                <c:pt idx="8">
                  <c:v>9.0443721180000001</c:v>
                </c:pt>
                <c:pt idx="9">
                  <c:v>21.717406350000001</c:v>
                </c:pt>
                <c:pt idx="10">
                  <c:v>33.162697770000001</c:v>
                </c:pt>
                <c:pt idx="11">
                  <c:v>54.007042560000002</c:v>
                </c:pt>
                <c:pt idx="12">
                  <c:v>62.587600719999998</c:v>
                </c:pt>
                <c:pt idx="13">
                  <c:v>99.044179479999997</c:v>
                </c:pt>
                <c:pt idx="14">
                  <c:v>99.104657180000004</c:v>
                </c:pt>
                <c:pt idx="15">
                  <c:v>99.222429550000001</c:v>
                </c:pt>
                <c:pt idx="16">
                  <c:v>99.356117100000006</c:v>
                </c:pt>
                <c:pt idx="17">
                  <c:v>99.497080159999996</c:v>
                </c:pt>
                <c:pt idx="18">
                  <c:v>99.533003010000002</c:v>
                </c:pt>
                <c:pt idx="19">
                  <c:v>99.706705880000001</c:v>
                </c:pt>
                <c:pt idx="20">
                  <c:v>99.787191239999999</c:v>
                </c:pt>
                <c:pt idx="21">
                  <c:v>99.999545280000007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F5-48A0-9D50-C59A421AAEE4}"/>
            </c:ext>
          </c:extLst>
        </c:ser>
        <c:ser>
          <c:idx val="5"/>
          <c:order val="5"/>
          <c:tx>
            <c:strRef>
              <c:f>data!$R$1</c:f>
              <c:strCache>
                <c:ptCount val="1"/>
                <c:pt idx="0">
                  <c:v>IG430 corrected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data!$R$5:$R$20</c:f>
              <c:numCache>
                <c:formatCode>General</c:formatCode>
                <c:ptCount val="16"/>
                <c:pt idx="0">
                  <c:v>71.746601999999996</c:v>
                </c:pt>
                <c:pt idx="1">
                  <c:v>44.705328999999999</c:v>
                </c:pt>
                <c:pt idx="2">
                  <c:v>28.839320000000001</c:v>
                </c:pt>
                <c:pt idx="3">
                  <c:v>18.046690999999999</c:v>
                </c:pt>
                <c:pt idx="4">
                  <c:v>9.4101429999999997</c:v>
                </c:pt>
                <c:pt idx="5">
                  <c:v>4.8653829999999996</c:v>
                </c:pt>
                <c:pt idx="6">
                  <c:v>3.539844</c:v>
                </c:pt>
                <c:pt idx="7">
                  <c:v>3.2389459999999999</c:v>
                </c:pt>
                <c:pt idx="8">
                  <c:v>3.0388540000000002</c:v>
                </c:pt>
                <c:pt idx="9">
                  <c:v>2.8074159999999999</c:v>
                </c:pt>
                <c:pt idx="10">
                  <c:v>2.704183</c:v>
                </c:pt>
                <c:pt idx="11">
                  <c:v>0.56466000000000005</c:v>
                </c:pt>
                <c:pt idx="12">
                  <c:v>0.30465999999999999</c:v>
                </c:pt>
                <c:pt idx="13">
                  <c:v>0.20466000000000001</c:v>
                </c:pt>
                <c:pt idx="14">
                  <c:v>0.10466</c:v>
                </c:pt>
                <c:pt idx="15">
                  <c:v>7.4660000000000004E-2</c:v>
                </c:pt>
              </c:numCache>
            </c:numRef>
          </c:xVal>
          <c:yVal>
            <c:numRef>
              <c:f>data!$S$5:$S$20</c:f>
              <c:numCache>
                <c:formatCode>General</c:formatCode>
                <c:ptCount val="16"/>
                <c:pt idx="0">
                  <c:v>0</c:v>
                </c:pt>
                <c:pt idx="1">
                  <c:v>0.98399999999999999</c:v>
                </c:pt>
                <c:pt idx="2">
                  <c:v>1.3939999999999999</c:v>
                </c:pt>
                <c:pt idx="3">
                  <c:v>2.105</c:v>
                </c:pt>
                <c:pt idx="4">
                  <c:v>3.746</c:v>
                </c:pt>
                <c:pt idx="5">
                  <c:v>4.5659999999999998</c:v>
                </c:pt>
                <c:pt idx="6">
                  <c:v>6.617</c:v>
                </c:pt>
                <c:pt idx="7">
                  <c:v>21.763999999999999</c:v>
                </c:pt>
                <c:pt idx="8">
                  <c:v>33.232999999999997</c:v>
                </c:pt>
                <c:pt idx="9">
                  <c:v>54.122</c:v>
                </c:pt>
                <c:pt idx="10">
                  <c:v>62.720999999999997</c:v>
                </c:pt>
                <c:pt idx="11">
                  <c:v>99.254999999999995</c:v>
                </c:pt>
                <c:pt idx="12">
                  <c:v>99.567999999999998</c:v>
                </c:pt>
                <c:pt idx="13">
                  <c:v>99.709000000000003</c:v>
                </c:pt>
                <c:pt idx="14">
                  <c:v>99.918999999999997</c:v>
                </c:pt>
                <c:pt idx="1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F5-48A0-9D50-C59A421AA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5935"/>
        <c:axId val="14692575"/>
      </c:scatterChart>
      <c:valAx>
        <c:axId val="14695935"/>
        <c:scaling>
          <c:logBase val="10"/>
          <c:orientation val="minMax"/>
          <c:min val="1.0000000000000003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575"/>
        <c:crosses val="autoZero"/>
        <c:crossBetween val="midCat"/>
      </c:valAx>
      <c:valAx>
        <c:axId val="1469257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935"/>
        <c:crossesAt val="1.0000000000000003E-4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6623019453501093E-2"/>
          <c:y val="0.1278488287178445"/>
          <c:w val="0.26975691426842252"/>
          <c:h val="0.2480295535221016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58677316918824E-2"/>
          <c:y val="3.88888536103685E-2"/>
          <c:w val="0.92211822775884356"/>
          <c:h val="0.9052270341207349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data!$D$2</c:f>
              <c:strCache>
                <c:ptCount val="1"/>
                <c:pt idx="0">
                  <c:v>IG430 thinned but not trimmed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data!$D$5:$D$27</c:f>
              <c:numCache>
                <c:formatCode>General</c:formatCode>
                <c:ptCount val="23"/>
                <c:pt idx="0">
                  <c:v>71.746601999999996</c:v>
                </c:pt>
                <c:pt idx="1">
                  <c:v>44.705328999999999</c:v>
                </c:pt>
                <c:pt idx="2">
                  <c:v>28.839320000000001</c:v>
                </c:pt>
                <c:pt idx="3">
                  <c:v>18.046690999999999</c:v>
                </c:pt>
                <c:pt idx="4">
                  <c:v>9.4101429999999997</c:v>
                </c:pt>
                <c:pt idx="5">
                  <c:v>4.8653829999999996</c:v>
                </c:pt>
                <c:pt idx="6">
                  <c:v>3.4640080000000002</c:v>
                </c:pt>
                <c:pt idx="7">
                  <c:v>3.3135590000000001</c:v>
                </c:pt>
                <c:pt idx="8">
                  <c:v>3.2389459999999999</c:v>
                </c:pt>
                <c:pt idx="9">
                  <c:v>3.1389</c:v>
                </c:pt>
                <c:pt idx="10">
                  <c:v>3.0388540000000002</c:v>
                </c:pt>
                <c:pt idx="11">
                  <c:v>2.9231349999999998</c:v>
                </c:pt>
                <c:pt idx="12">
                  <c:v>2.8074159999999999</c:v>
                </c:pt>
                <c:pt idx="13">
                  <c:v>2.7557999999999998</c:v>
                </c:pt>
                <c:pt idx="14">
                  <c:v>2.704183</c:v>
                </c:pt>
                <c:pt idx="15">
                  <c:v>9.1791999999999999E-2</c:v>
                </c:pt>
                <c:pt idx="16">
                  <c:v>5.7919999999999999E-2</c:v>
                </c:pt>
                <c:pt idx="17">
                  <c:v>3.0907E-2</c:v>
                </c:pt>
                <c:pt idx="18">
                  <c:v>1.0893E-2</c:v>
                </c:pt>
                <c:pt idx="19">
                  <c:v>4.0429999999999997E-3</c:v>
                </c:pt>
                <c:pt idx="20">
                  <c:v>2.49E-3</c:v>
                </c:pt>
                <c:pt idx="21">
                  <c:v>1.0640000000000001E-3</c:v>
                </c:pt>
                <c:pt idx="22">
                  <c:v>6.2600000000000004E-4</c:v>
                </c:pt>
              </c:numCache>
            </c:numRef>
          </c:xVal>
          <c:yVal>
            <c:numRef>
              <c:f>data!$E$5:$E$27</c:f>
              <c:numCache>
                <c:formatCode>General</c:formatCode>
                <c:ptCount val="23"/>
                <c:pt idx="0">
                  <c:v>0</c:v>
                </c:pt>
                <c:pt idx="1">
                  <c:v>0.98199999999999998</c:v>
                </c:pt>
                <c:pt idx="2">
                  <c:v>1.391</c:v>
                </c:pt>
                <c:pt idx="3">
                  <c:v>2.101</c:v>
                </c:pt>
                <c:pt idx="4">
                  <c:v>3.738</c:v>
                </c:pt>
                <c:pt idx="5">
                  <c:v>4.556</c:v>
                </c:pt>
                <c:pt idx="6">
                  <c:v>7.8230000000000004</c:v>
                </c:pt>
                <c:pt idx="7">
                  <c:v>15.381</c:v>
                </c:pt>
                <c:pt idx="8">
                  <c:v>21.716999999999999</c:v>
                </c:pt>
                <c:pt idx="9">
                  <c:v>27.44</c:v>
                </c:pt>
                <c:pt idx="10">
                  <c:v>33.162999999999997</c:v>
                </c:pt>
                <c:pt idx="11">
                  <c:v>43.585000000000001</c:v>
                </c:pt>
                <c:pt idx="12">
                  <c:v>54.006999999999998</c:v>
                </c:pt>
                <c:pt idx="13">
                  <c:v>58.296999999999997</c:v>
                </c:pt>
                <c:pt idx="14">
                  <c:v>62.588000000000001</c:v>
                </c:pt>
                <c:pt idx="15">
                  <c:v>98.19</c:v>
                </c:pt>
                <c:pt idx="16">
                  <c:v>98.896000000000001</c:v>
                </c:pt>
                <c:pt idx="17">
                  <c:v>99.311000000000007</c:v>
                </c:pt>
                <c:pt idx="18">
                  <c:v>99.718999999999994</c:v>
                </c:pt>
                <c:pt idx="19">
                  <c:v>99.936999999999998</c:v>
                </c:pt>
                <c:pt idx="20">
                  <c:v>99.972999999999999</c:v>
                </c:pt>
                <c:pt idx="21">
                  <c:v>99.998999999999995</c:v>
                </c:pt>
                <c:pt idx="2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77-40B8-9B65-B378BC73F68D}"/>
            </c:ext>
          </c:extLst>
        </c:ser>
        <c:ser>
          <c:idx val="2"/>
          <c:order val="1"/>
          <c:tx>
            <c:v>IG430 trimmed to IG110 range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data!$I$5:$I$22</c:f>
              <c:numCache>
                <c:formatCode>General</c:formatCode>
                <c:ptCount val="18"/>
                <c:pt idx="0">
                  <c:v>71.746601999999996</c:v>
                </c:pt>
                <c:pt idx="1">
                  <c:v>44.705328999999999</c:v>
                </c:pt>
                <c:pt idx="2">
                  <c:v>28.839320000000001</c:v>
                </c:pt>
                <c:pt idx="3">
                  <c:v>18.046690999999999</c:v>
                </c:pt>
                <c:pt idx="4">
                  <c:v>9.4101429999999997</c:v>
                </c:pt>
                <c:pt idx="5">
                  <c:v>4.8653829999999996</c:v>
                </c:pt>
                <c:pt idx="6">
                  <c:v>3.4640080000000002</c:v>
                </c:pt>
                <c:pt idx="7">
                  <c:v>3.3135590000000001</c:v>
                </c:pt>
                <c:pt idx="8">
                  <c:v>3.2389459999999999</c:v>
                </c:pt>
                <c:pt idx="9">
                  <c:v>3.1389</c:v>
                </c:pt>
                <c:pt idx="10">
                  <c:v>3.0388540000000002</c:v>
                </c:pt>
                <c:pt idx="11">
                  <c:v>2.9231349999999998</c:v>
                </c:pt>
                <c:pt idx="12">
                  <c:v>2.8074159999999999</c:v>
                </c:pt>
                <c:pt idx="13">
                  <c:v>2.7557999999999998</c:v>
                </c:pt>
                <c:pt idx="14">
                  <c:v>2.704183</c:v>
                </c:pt>
                <c:pt idx="15">
                  <c:v>9.1791999999999999E-2</c:v>
                </c:pt>
                <c:pt idx="16">
                  <c:v>5.7919999999999999E-2</c:v>
                </c:pt>
                <c:pt idx="17">
                  <c:v>3.0907E-2</c:v>
                </c:pt>
              </c:numCache>
            </c:numRef>
          </c:xVal>
          <c:yVal>
            <c:numRef>
              <c:f>data!$J$5:$J$22</c:f>
              <c:numCache>
                <c:formatCode>General</c:formatCode>
                <c:ptCount val="18"/>
                <c:pt idx="0">
                  <c:v>0</c:v>
                </c:pt>
                <c:pt idx="1">
                  <c:v>0.98881292102586815</c:v>
                </c:pt>
                <c:pt idx="2">
                  <c:v>1.4006504818197378</c:v>
                </c:pt>
                <c:pt idx="3">
                  <c:v>2.1155763208506611</c:v>
                </c:pt>
                <c:pt idx="4">
                  <c:v>3.7639335018275921</c:v>
                </c:pt>
                <c:pt idx="5">
                  <c:v>4.5876086234153313</c:v>
                </c:pt>
                <c:pt idx="6">
                  <c:v>7.8772744207590302</c:v>
                </c:pt>
                <c:pt idx="7">
                  <c:v>15.487710324133277</c:v>
                </c:pt>
                <c:pt idx="8">
                  <c:v>21.867668234133173</c:v>
                </c:pt>
                <c:pt idx="9">
                  <c:v>27.630373271842995</c:v>
                </c:pt>
                <c:pt idx="10">
                  <c:v>33.393078309552813</c:v>
                </c:pt>
                <c:pt idx="11">
                  <c:v>43.887384076285606</c:v>
                </c:pt>
                <c:pt idx="12">
                  <c:v>54.381689843018393</c:v>
                </c:pt>
                <c:pt idx="13">
                  <c:v>58.701453011247487</c:v>
                </c:pt>
                <c:pt idx="14">
                  <c:v>63.022223117278045</c:v>
                </c:pt>
                <c:pt idx="15">
                  <c:v>98.871222724572291</c:v>
                </c:pt>
                <c:pt idx="16">
                  <c:v>99.58212081239742</c:v>
                </c:pt>
                <c:pt idx="1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77-40B8-9B65-B378BC73F68D}"/>
            </c:ext>
          </c:extLst>
        </c:ser>
        <c:ser>
          <c:idx val="4"/>
          <c:order val="2"/>
          <c:tx>
            <c:v>IG430 final data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17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data!$O$5:$O$31</c:f>
              <c:numCache>
                <c:formatCode>General</c:formatCode>
                <c:ptCount val="27"/>
                <c:pt idx="0">
                  <c:v>71.746601499999997</c:v>
                </c:pt>
                <c:pt idx="1">
                  <c:v>59.54677453</c:v>
                </c:pt>
                <c:pt idx="2">
                  <c:v>44.705329200000001</c:v>
                </c:pt>
                <c:pt idx="3">
                  <c:v>28.83932021</c:v>
                </c:pt>
                <c:pt idx="4">
                  <c:v>18.04669118</c:v>
                </c:pt>
                <c:pt idx="5">
                  <c:v>9.4101428709999997</c:v>
                </c:pt>
                <c:pt idx="6">
                  <c:v>4.8653831649999999</c:v>
                </c:pt>
                <c:pt idx="7">
                  <c:v>3.5398443579999999</c:v>
                </c:pt>
                <c:pt idx="8">
                  <c:v>3.3881716900000001</c:v>
                </c:pt>
                <c:pt idx="9">
                  <c:v>3.2389458950000001</c:v>
                </c:pt>
                <c:pt idx="10">
                  <c:v>3.0388539890000001</c:v>
                </c:pt>
                <c:pt idx="11">
                  <c:v>2.8074161690000001</c:v>
                </c:pt>
                <c:pt idx="12">
                  <c:v>2.7041833620000002</c:v>
                </c:pt>
                <c:pt idx="13">
                  <c:v>0.56466000000000005</c:v>
                </c:pt>
                <c:pt idx="14">
                  <c:v>0.50466</c:v>
                </c:pt>
                <c:pt idx="15">
                  <c:v>0.40466000000000002</c:v>
                </c:pt>
                <c:pt idx="16">
                  <c:v>0.30465999999999999</c:v>
                </c:pt>
                <c:pt idx="17">
                  <c:v>0.20466000000000001</c:v>
                </c:pt>
                <c:pt idx="18">
                  <c:v>0.18465999999999999</c:v>
                </c:pt>
                <c:pt idx="19">
                  <c:v>0.10466</c:v>
                </c:pt>
                <c:pt idx="20">
                  <c:v>7.4660000000000004E-2</c:v>
                </c:pt>
                <c:pt idx="21">
                  <c:v>4.9399999999999999E-3</c:v>
                </c:pt>
                <c:pt idx="22">
                  <c:v>2.6773999999999999E-3</c:v>
                </c:pt>
                <c:pt idx="23">
                  <c:v>1.8064999999999999E-3</c:v>
                </c:pt>
                <c:pt idx="24">
                  <c:v>1.0757E-3</c:v>
                </c:pt>
                <c:pt idx="25">
                  <c:v>6.2969999999999996E-4</c:v>
                </c:pt>
                <c:pt idx="26">
                  <c:v>4.6250000000000002E-4</c:v>
                </c:pt>
              </c:numCache>
            </c:numRef>
          </c:xVal>
          <c:yVal>
            <c:numRef>
              <c:f>data!$P$5:$P$31</c:f>
              <c:numCache>
                <c:formatCode>General</c:formatCode>
                <c:ptCount val="27"/>
                <c:pt idx="0">
                  <c:v>1.0000000000000001E-5</c:v>
                </c:pt>
                <c:pt idx="1">
                  <c:v>2.7283174E-2</c:v>
                </c:pt>
                <c:pt idx="2">
                  <c:v>0.98219425699999996</c:v>
                </c:pt>
                <c:pt idx="3">
                  <c:v>1.3914418639999999</c:v>
                </c:pt>
                <c:pt idx="4">
                  <c:v>2.1008043829999998</c:v>
                </c:pt>
                <c:pt idx="5">
                  <c:v>3.7377948120000002</c:v>
                </c:pt>
                <c:pt idx="6">
                  <c:v>4.5562900260000001</c:v>
                </c:pt>
                <c:pt idx="7">
                  <c:v>6.6025280620000002</c:v>
                </c:pt>
                <c:pt idx="8">
                  <c:v>9.0443721180000001</c:v>
                </c:pt>
                <c:pt idx="9">
                  <c:v>21.717406350000001</c:v>
                </c:pt>
                <c:pt idx="10">
                  <c:v>33.162697770000001</c:v>
                </c:pt>
                <c:pt idx="11">
                  <c:v>54.007042560000002</c:v>
                </c:pt>
                <c:pt idx="12">
                  <c:v>62.587600719999998</c:v>
                </c:pt>
                <c:pt idx="13">
                  <c:v>99.044179479999997</c:v>
                </c:pt>
                <c:pt idx="14">
                  <c:v>99.104657180000004</c:v>
                </c:pt>
                <c:pt idx="15">
                  <c:v>99.222429550000001</c:v>
                </c:pt>
                <c:pt idx="16">
                  <c:v>99.356117100000006</c:v>
                </c:pt>
                <c:pt idx="17">
                  <c:v>99.497080159999996</c:v>
                </c:pt>
                <c:pt idx="18">
                  <c:v>99.533003010000002</c:v>
                </c:pt>
                <c:pt idx="19">
                  <c:v>99.706705880000001</c:v>
                </c:pt>
                <c:pt idx="20">
                  <c:v>99.787191239999999</c:v>
                </c:pt>
                <c:pt idx="21">
                  <c:v>99.999545280000007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77-40B8-9B65-B378BC73F68D}"/>
            </c:ext>
          </c:extLst>
        </c:ser>
        <c:ser>
          <c:idx val="5"/>
          <c:order val="3"/>
          <c:tx>
            <c:strRef>
              <c:f>data!$R$1</c:f>
              <c:strCache>
                <c:ptCount val="1"/>
                <c:pt idx="0">
                  <c:v>IG430 corrected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data!$R$5:$R$20</c:f>
              <c:numCache>
                <c:formatCode>General</c:formatCode>
                <c:ptCount val="16"/>
                <c:pt idx="0">
                  <c:v>71.746601999999996</c:v>
                </c:pt>
                <c:pt idx="1">
                  <c:v>44.705328999999999</c:v>
                </c:pt>
                <c:pt idx="2">
                  <c:v>28.839320000000001</c:v>
                </c:pt>
                <c:pt idx="3">
                  <c:v>18.046690999999999</c:v>
                </c:pt>
                <c:pt idx="4">
                  <c:v>9.4101429999999997</c:v>
                </c:pt>
                <c:pt idx="5">
                  <c:v>4.8653829999999996</c:v>
                </c:pt>
                <c:pt idx="6">
                  <c:v>3.539844</c:v>
                </c:pt>
                <c:pt idx="7">
                  <c:v>3.2389459999999999</c:v>
                </c:pt>
                <c:pt idx="8">
                  <c:v>3.0388540000000002</c:v>
                </c:pt>
                <c:pt idx="9">
                  <c:v>2.8074159999999999</c:v>
                </c:pt>
                <c:pt idx="10">
                  <c:v>2.704183</c:v>
                </c:pt>
                <c:pt idx="11">
                  <c:v>0.56466000000000005</c:v>
                </c:pt>
                <c:pt idx="12">
                  <c:v>0.30465999999999999</c:v>
                </c:pt>
                <c:pt idx="13">
                  <c:v>0.20466000000000001</c:v>
                </c:pt>
                <c:pt idx="14">
                  <c:v>0.10466</c:v>
                </c:pt>
                <c:pt idx="15">
                  <c:v>7.4660000000000004E-2</c:v>
                </c:pt>
              </c:numCache>
            </c:numRef>
          </c:xVal>
          <c:yVal>
            <c:numRef>
              <c:f>data!$S$5:$S$20</c:f>
              <c:numCache>
                <c:formatCode>General</c:formatCode>
                <c:ptCount val="16"/>
                <c:pt idx="0">
                  <c:v>0</c:v>
                </c:pt>
                <c:pt idx="1">
                  <c:v>0.98399999999999999</c:v>
                </c:pt>
                <c:pt idx="2">
                  <c:v>1.3939999999999999</c:v>
                </c:pt>
                <c:pt idx="3">
                  <c:v>2.105</c:v>
                </c:pt>
                <c:pt idx="4">
                  <c:v>3.746</c:v>
                </c:pt>
                <c:pt idx="5">
                  <c:v>4.5659999999999998</c:v>
                </c:pt>
                <c:pt idx="6">
                  <c:v>6.617</c:v>
                </c:pt>
                <c:pt idx="7">
                  <c:v>21.763999999999999</c:v>
                </c:pt>
                <c:pt idx="8">
                  <c:v>33.232999999999997</c:v>
                </c:pt>
                <c:pt idx="9">
                  <c:v>54.122</c:v>
                </c:pt>
                <c:pt idx="10">
                  <c:v>62.720999999999997</c:v>
                </c:pt>
                <c:pt idx="11">
                  <c:v>99.254999999999995</c:v>
                </c:pt>
                <c:pt idx="12">
                  <c:v>99.567999999999998</c:v>
                </c:pt>
                <c:pt idx="13">
                  <c:v>99.709000000000003</c:v>
                </c:pt>
                <c:pt idx="14">
                  <c:v>99.918999999999997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77-40B8-9B65-B378BC73F68D}"/>
            </c:ext>
          </c:extLst>
        </c:ser>
        <c:ser>
          <c:idx val="0"/>
          <c:order val="4"/>
          <c:tx>
            <c:v>IG430 fully corrected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2"/>
            <c:spPr>
              <a:noFill/>
              <a:ln w="9525">
                <a:solidFill>
                  <a:srgbClr val="CC9900"/>
                </a:solidFill>
              </a:ln>
              <a:effectLst/>
            </c:spPr>
          </c:marker>
          <c:xVal>
            <c:numRef>
              <c:f>data!$U$5:$U$22</c:f>
              <c:numCache>
                <c:formatCode>General</c:formatCode>
                <c:ptCount val="18"/>
                <c:pt idx="0">
                  <c:v>89.139717000000005</c:v>
                </c:pt>
                <c:pt idx="1">
                  <c:v>71.746601999999996</c:v>
                </c:pt>
                <c:pt idx="2">
                  <c:v>44.705328999999999</c:v>
                </c:pt>
                <c:pt idx="3">
                  <c:v>28.839320000000001</c:v>
                </c:pt>
                <c:pt idx="4">
                  <c:v>18.046690999999999</c:v>
                </c:pt>
                <c:pt idx="5">
                  <c:v>9.4101429999999997</c:v>
                </c:pt>
                <c:pt idx="6">
                  <c:v>4.8653829999999996</c:v>
                </c:pt>
                <c:pt idx="7">
                  <c:v>3.539844</c:v>
                </c:pt>
                <c:pt idx="8">
                  <c:v>3.2389459999999999</c:v>
                </c:pt>
                <c:pt idx="9">
                  <c:v>3.0388540000000002</c:v>
                </c:pt>
                <c:pt idx="10">
                  <c:v>2.8074159999999999</c:v>
                </c:pt>
                <c:pt idx="11">
                  <c:v>2.704183</c:v>
                </c:pt>
                <c:pt idx="12">
                  <c:v>0.56466000000000005</c:v>
                </c:pt>
                <c:pt idx="13">
                  <c:v>0.30465999999999999</c:v>
                </c:pt>
                <c:pt idx="14">
                  <c:v>0.20466000000000001</c:v>
                </c:pt>
                <c:pt idx="15">
                  <c:v>0.10466</c:v>
                </c:pt>
                <c:pt idx="16">
                  <c:v>7.4660000000000004E-2</c:v>
                </c:pt>
                <c:pt idx="17">
                  <c:v>3.4660000000000003E-2</c:v>
                </c:pt>
              </c:numCache>
            </c:numRef>
          </c:xVal>
          <c:yVal>
            <c:numRef>
              <c:f>data!$V$5:$V$22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0.98399999999999999</c:v>
                </c:pt>
                <c:pt idx="3">
                  <c:v>1.3939999999999999</c:v>
                </c:pt>
                <c:pt idx="4">
                  <c:v>2.105</c:v>
                </c:pt>
                <c:pt idx="5">
                  <c:v>3.746</c:v>
                </c:pt>
                <c:pt idx="6">
                  <c:v>4.5659999999999998</c:v>
                </c:pt>
                <c:pt idx="7">
                  <c:v>6.617</c:v>
                </c:pt>
                <c:pt idx="8">
                  <c:v>21.763999999999999</c:v>
                </c:pt>
                <c:pt idx="9">
                  <c:v>33.232999999999997</c:v>
                </c:pt>
                <c:pt idx="10">
                  <c:v>54.122</c:v>
                </c:pt>
                <c:pt idx="11">
                  <c:v>62.720999999999997</c:v>
                </c:pt>
                <c:pt idx="12">
                  <c:v>99.254999999999995</c:v>
                </c:pt>
                <c:pt idx="13">
                  <c:v>99.567999999999998</c:v>
                </c:pt>
                <c:pt idx="14">
                  <c:v>99.709000000000003</c:v>
                </c:pt>
                <c:pt idx="15">
                  <c:v>99.918999999999997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5E-43B1-8416-4E1CC1A91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5935"/>
        <c:axId val="14692575"/>
      </c:scatterChart>
      <c:valAx>
        <c:axId val="14695935"/>
        <c:scaling>
          <c:logBase val="10"/>
          <c:orientation val="minMax"/>
          <c:min val="1.0000000000000003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575"/>
        <c:crosses val="autoZero"/>
        <c:crossBetween val="midCat"/>
      </c:valAx>
      <c:valAx>
        <c:axId val="1469257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935"/>
        <c:crossesAt val="1.0000000000000003E-4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6623019453501093E-2"/>
          <c:y val="0.1278488287178445"/>
          <c:w val="0.27002493553711721"/>
          <c:h val="0.2071049073411278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A30831-04DD-4E92-9EAB-D24EE50D82DC}">
  <sheetPr/>
  <sheetViews>
    <sheetView zoomScale="19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BB254B-040A-43E4-A921-B75EE43FF77C}">
  <sheetPr/>
  <sheetViews>
    <sheetView tabSelected="1" zoomScale="19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85572-AF05-DBCD-1A6A-35FCDF3FED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86CE7-099D-E9C0-235D-A00DE73CC8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8188-C553-4407-BE79-51E39C3D8659}">
  <dimension ref="A1:V44"/>
  <sheetViews>
    <sheetView topLeftCell="C1" zoomScale="118" zoomScaleNormal="118" workbookViewId="0">
      <selection activeCell="U2" sqref="U2:V22"/>
    </sheetView>
  </sheetViews>
  <sheetFormatPr defaultRowHeight="15" x14ac:dyDescent="0.25"/>
  <cols>
    <col min="4" max="4" width="28" bestFit="1" customWidth="1"/>
    <col min="6" max="6" width="6.28515625" customWidth="1"/>
    <col min="7" max="7" width="12.140625" bestFit="1" customWidth="1"/>
    <col min="8" max="8" width="2.7109375" customWidth="1"/>
    <col min="14" max="14" width="3.140625" customWidth="1"/>
  </cols>
  <sheetData>
    <row r="1" spans="1:22" ht="36" customHeight="1" x14ac:dyDescent="0.25">
      <c r="I1" s="11" t="s">
        <v>10</v>
      </c>
      <c r="J1" s="11"/>
      <c r="L1" s="10" t="s">
        <v>8</v>
      </c>
      <c r="M1" s="10"/>
      <c r="N1" s="10"/>
      <c r="O1" s="10"/>
      <c r="P1" s="10"/>
      <c r="R1" s="1" t="s">
        <v>11</v>
      </c>
      <c r="U1" s="1" t="s">
        <v>12</v>
      </c>
    </row>
    <row r="2" spans="1:22" x14ac:dyDescent="0.25">
      <c r="A2" t="s">
        <v>0</v>
      </c>
      <c r="B2" t="s">
        <v>1</v>
      </c>
      <c r="D2" t="s">
        <v>4</v>
      </c>
      <c r="E2" t="s">
        <v>3</v>
      </c>
      <c r="G2" t="s">
        <v>5</v>
      </c>
      <c r="I2" t="s">
        <v>6</v>
      </c>
      <c r="J2" t="s">
        <v>3</v>
      </c>
      <c r="L2" t="s">
        <v>0</v>
      </c>
      <c r="O2" t="s">
        <v>9</v>
      </c>
      <c r="R2" t="s">
        <v>9</v>
      </c>
      <c r="S2" t="s">
        <v>1</v>
      </c>
      <c r="U2" t="s">
        <v>9</v>
      </c>
      <c r="V2" t="s">
        <v>1</v>
      </c>
    </row>
    <row r="3" spans="1:22" x14ac:dyDescent="0.25">
      <c r="A3">
        <v>12.5851868634706</v>
      </c>
      <c r="B3" t="s">
        <v>2</v>
      </c>
      <c r="D3">
        <v>13.31113371</v>
      </c>
      <c r="E3" t="s">
        <v>2</v>
      </c>
      <c r="G3">
        <f>$D$3*$E$22/$G$22</f>
        <v>13.2194199987381</v>
      </c>
      <c r="J3">
        <v>13.2194199987381</v>
      </c>
      <c r="L3">
        <v>12.607130079999999</v>
      </c>
      <c r="M3" t="s">
        <v>7</v>
      </c>
      <c r="O3">
        <v>13.31113371</v>
      </c>
      <c r="P3" t="s">
        <v>7</v>
      </c>
      <c r="R3">
        <v>13.2828064485771</v>
      </c>
      <c r="S3" t="s">
        <v>2</v>
      </c>
      <c r="U3">
        <v>13.2828064485771</v>
      </c>
      <c r="V3" t="s">
        <v>2</v>
      </c>
    </row>
    <row r="4" spans="1:22" x14ac:dyDescent="0.25">
      <c r="A4">
        <v>33</v>
      </c>
      <c r="B4">
        <v>33</v>
      </c>
      <c r="D4">
        <v>23</v>
      </c>
      <c r="E4">
        <v>23</v>
      </c>
      <c r="I4">
        <v>23</v>
      </c>
      <c r="J4">
        <v>23</v>
      </c>
      <c r="L4">
        <v>40</v>
      </c>
      <c r="M4">
        <v>40</v>
      </c>
      <c r="O4">
        <v>27</v>
      </c>
      <c r="P4">
        <v>27</v>
      </c>
      <c r="R4">
        <v>16</v>
      </c>
      <c r="S4">
        <v>16</v>
      </c>
      <c r="U4">
        <v>18</v>
      </c>
      <c r="V4">
        <v>18</v>
      </c>
    </row>
    <row r="5" spans="1:22" x14ac:dyDescent="0.25">
      <c r="A5" s="12">
        <v>89.139717000000005</v>
      </c>
      <c r="B5" s="12">
        <v>0</v>
      </c>
      <c r="D5" s="2">
        <v>71.746601999999996</v>
      </c>
      <c r="E5">
        <v>0</v>
      </c>
      <c r="G5">
        <f t="shared" ref="G5:G21" si="0">E5*100/$E$22</f>
        <v>0</v>
      </c>
      <c r="I5">
        <v>71.746601999999996</v>
      </c>
      <c r="J5">
        <v>0</v>
      </c>
      <c r="L5">
        <v>89.139717020000006</v>
      </c>
      <c r="M5">
        <v>1.4264859E-2</v>
      </c>
      <c r="O5" s="2">
        <v>71.746601499999997</v>
      </c>
      <c r="P5">
        <v>1.0000000000000001E-5</v>
      </c>
      <c r="R5" s="2">
        <v>71.746601999999996</v>
      </c>
      <c r="S5">
        <v>0</v>
      </c>
      <c r="U5" s="12">
        <v>89.139717000000005</v>
      </c>
      <c r="V5" s="12">
        <v>0</v>
      </c>
    </row>
    <row r="6" spans="1:22" x14ac:dyDescent="0.25">
      <c r="A6">
        <v>72.453464999999994</v>
      </c>
      <c r="B6">
        <v>0.75700000000000001</v>
      </c>
      <c r="D6" s="3">
        <v>44.705328999999999</v>
      </c>
      <c r="E6">
        <v>0.98199999999999998</v>
      </c>
      <c r="G6">
        <f t="shared" si="0"/>
        <v>0.98881292102586815</v>
      </c>
      <c r="I6">
        <v>44.705328999999999</v>
      </c>
      <c r="J6">
        <v>0.98881292102586815</v>
      </c>
      <c r="L6">
        <v>65.955395999999993</v>
      </c>
      <c r="M6">
        <v>1.3408967519999999</v>
      </c>
      <c r="O6">
        <v>59.54677453</v>
      </c>
      <c r="P6">
        <v>2.7283174E-2</v>
      </c>
      <c r="R6" s="3">
        <v>44.705328999999999</v>
      </c>
      <c r="S6">
        <v>0.98399999999999999</v>
      </c>
      <c r="U6" s="2">
        <v>71.746601999999996</v>
      </c>
      <c r="V6">
        <v>0</v>
      </c>
    </row>
    <row r="7" spans="1:22" x14ac:dyDescent="0.25">
      <c r="A7">
        <v>58.832213000000003</v>
      </c>
      <c r="B7">
        <v>2.0150000000000001</v>
      </c>
      <c r="D7" s="4">
        <v>28.839320000000001</v>
      </c>
      <c r="E7">
        <v>1.391</v>
      </c>
      <c r="G7">
        <f t="shared" si="0"/>
        <v>1.4006504818197378</v>
      </c>
      <c r="I7">
        <v>28.839320000000001</v>
      </c>
      <c r="J7">
        <v>1.4006504818197378</v>
      </c>
      <c r="L7">
        <v>48.065533690000002</v>
      </c>
      <c r="M7">
        <v>2.5819394899999999</v>
      </c>
      <c r="O7" s="3">
        <v>44.705329200000001</v>
      </c>
      <c r="P7">
        <v>0.98219425699999996</v>
      </c>
      <c r="R7" s="4">
        <v>28.839320000000001</v>
      </c>
      <c r="S7">
        <v>1.3939999999999999</v>
      </c>
      <c r="U7" s="3">
        <v>44.705328999999999</v>
      </c>
      <c r="V7">
        <v>0.98399999999999999</v>
      </c>
    </row>
    <row r="8" spans="1:22" x14ac:dyDescent="0.25">
      <c r="A8">
        <v>42.880622000000002</v>
      </c>
      <c r="B8">
        <v>3.2440000000000002</v>
      </c>
      <c r="D8" s="2">
        <v>18.046690999999999</v>
      </c>
      <c r="E8">
        <v>2.101</v>
      </c>
      <c r="G8">
        <f t="shared" si="0"/>
        <v>2.1155763208506611</v>
      </c>
      <c r="I8">
        <v>18.046690999999999</v>
      </c>
      <c r="J8">
        <v>2.1155763208506611</v>
      </c>
      <c r="L8">
        <v>36.862288990000003</v>
      </c>
      <c r="M8">
        <v>3.8372470879999998</v>
      </c>
      <c r="O8" s="4">
        <v>28.83932021</v>
      </c>
      <c r="P8">
        <v>1.3914418639999999</v>
      </c>
      <c r="R8" s="2">
        <v>18.046690999999999</v>
      </c>
      <c r="S8">
        <v>2.105</v>
      </c>
      <c r="U8" s="4">
        <v>28.839320000000001</v>
      </c>
      <c r="V8">
        <v>1.3939999999999999</v>
      </c>
    </row>
    <row r="9" spans="1:22" x14ac:dyDescent="0.25">
      <c r="A9">
        <v>31.766853999999999</v>
      </c>
      <c r="B9">
        <v>4.2729999999999997</v>
      </c>
      <c r="D9" s="3">
        <v>9.4101429999999997</v>
      </c>
      <c r="E9">
        <v>3.738</v>
      </c>
      <c r="G9">
        <f t="shared" si="0"/>
        <v>3.7639335018275921</v>
      </c>
      <c r="I9">
        <v>9.4101429999999997</v>
      </c>
      <c r="J9">
        <v>3.7639335018275921</v>
      </c>
      <c r="L9">
        <v>26.548832690000001</v>
      </c>
      <c r="M9">
        <v>4.7787277860000001</v>
      </c>
      <c r="O9" s="2">
        <v>18.04669118</v>
      </c>
      <c r="P9">
        <v>2.1008043829999998</v>
      </c>
      <c r="R9" s="3">
        <v>9.4101429999999997</v>
      </c>
      <c r="S9">
        <v>3.746</v>
      </c>
      <c r="U9" s="2">
        <v>18.046690999999999</v>
      </c>
      <c r="V9">
        <v>2.105</v>
      </c>
    </row>
    <row r="10" spans="1:22" x14ac:dyDescent="0.25">
      <c r="A10">
        <v>21.919602999999999</v>
      </c>
      <c r="B10">
        <v>5.3310000000000004</v>
      </c>
      <c r="D10" s="4">
        <v>4.8653829999999996</v>
      </c>
      <c r="E10">
        <v>4.556</v>
      </c>
      <c r="G10">
        <f t="shared" si="0"/>
        <v>4.5876086234153313</v>
      </c>
      <c r="I10">
        <v>4.8653829999999996</v>
      </c>
      <c r="J10">
        <v>4.5876086234153313</v>
      </c>
      <c r="L10">
        <v>17.635555530000001</v>
      </c>
      <c r="M10">
        <v>5.8057976379999996</v>
      </c>
      <c r="O10" s="3">
        <v>9.4101428709999997</v>
      </c>
      <c r="P10">
        <v>3.7377948120000002</v>
      </c>
      <c r="R10" s="4">
        <v>4.8653829999999996</v>
      </c>
      <c r="S10">
        <v>4.5659999999999998</v>
      </c>
      <c r="U10" s="3">
        <v>9.4101429999999997</v>
      </c>
      <c r="V10">
        <v>3.746</v>
      </c>
    </row>
    <row r="11" spans="1:22" x14ac:dyDescent="0.25">
      <c r="A11">
        <v>17.635556000000001</v>
      </c>
      <c r="B11">
        <v>5.8019999999999996</v>
      </c>
      <c r="D11">
        <v>3.4640080000000002</v>
      </c>
      <c r="E11">
        <v>7.8230000000000004</v>
      </c>
      <c r="G11">
        <f t="shared" si="0"/>
        <v>7.8772744207590302</v>
      </c>
      <c r="I11">
        <v>3.4640080000000002</v>
      </c>
      <c r="J11">
        <v>7.8772744207590302</v>
      </c>
      <c r="L11">
        <v>12.40139402</v>
      </c>
      <c r="M11">
        <v>6.9612512219999996</v>
      </c>
      <c r="O11" s="4">
        <v>4.8653831649999999</v>
      </c>
      <c r="P11">
        <v>4.5562900260000001</v>
      </c>
      <c r="R11" s="5">
        <v>3.539844</v>
      </c>
      <c r="S11">
        <v>6.617</v>
      </c>
      <c r="U11" s="4">
        <v>4.8653829999999996</v>
      </c>
      <c r="V11">
        <v>4.5659999999999998</v>
      </c>
    </row>
    <row r="12" spans="1:22" x14ac:dyDescent="0.25">
      <c r="A12">
        <v>12.401394</v>
      </c>
      <c r="B12">
        <v>6.96</v>
      </c>
      <c r="D12">
        <v>3.3135590000000001</v>
      </c>
      <c r="E12">
        <v>15.381</v>
      </c>
      <c r="G12">
        <f t="shared" si="0"/>
        <v>15.487710324133277</v>
      </c>
      <c r="I12">
        <v>3.3135590000000001</v>
      </c>
      <c r="J12">
        <v>15.487710324133277</v>
      </c>
      <c r="L12">
        <v>9.746887547</v>
      </c>
      <c r="M12">
        <v>8.1452345239999993</v>
      </c>
      <c r="O12" s="5">
        <v>3.5398443579999999</v>
      </c>
      <c r="P12">
        <v>6.6025280620000002</v>
      </c>
      <c r="R12" s="2">
        <v>3.2389459999999999</v>
      </c>
      <c r="S12">
        <v>21.763999999999999</v>
      </c>
      <c r="U12" s="5">
        <v>3.539844</v>
      </c>
      <c r="V12">
        <v>6.617</v>
      </c>
    </row>
    <row r="13" spans="1:22" x14ac:dyDescent="0.25">
      <c r="A13">
        <v>9.7468880000000002</v>
      </c>
      <c r="B13">
        <v>8.1460000000000008</v>
      </c>
      <c r="D13" s="2">
        <v>3.2389459999999999</v>
      </c>
      <c r="E13">
        <v>21.716999999999999</v>
      </c>
      <c r="G13">
        <f t="shared" si="0"/>
        <v>21.867668234133173</v>
      </c>
      <c r="I13">
        <v>3.2389459999999999</v>
      </c>
      <c r="J13">
        <v>21.867668234133173</v>
      </c>
      <c r="L13">
        <v>6.3369467070000001</v>
      </c>
      <c r="M13">
        <v>9.2436286719999998</v>
      </c>
      <c r="O13">
        <v>3.3881716900000001</v>
      </c>
      <c r="P13">
        <v>9.0443721180000001</v>
      </c>
      <c r="R13" s="3">
        <v>3.0388540000000002</v>
      </c>
      <c r="S13">
        <v>33.232999999999997</v>
      </c>
      <c r="U13" s="2">
        <v>3.2389459999999999</v>
      </c>
      <c r="V13">
        <v>21.763999999999999</v>
      </c>
    </row>
    <row r="14" spans="1:22" x14ac:dyDescent="0.25">
      <c r="A14">
        <v>7.5853809999999999</v>
      </c>
      <c r="B14">
        <v>8.4749999999999996</v>
      </c>
      <c r="D14">
        <v>3.1389</v>
      </c>
      <c r="E14">
        <v>27.44</v>
      </c>
      <c r="G14">
        <f t="shared" si="0"/>
        <v>27.630373271842995</v>
      </c>
      <c r="I14">
        <v>3.1389</v>
      </c>
      <c r="J14">
        <v>27.630373271842995</v>
      </c>
      <c r="L14">
        <v>4.9739781220000001</v>
      </c>
      <c r="M14">
        <v>10.827028029999999</v>
      </c>
      <c r="O14" s="2">
        <v>3.2389458950000001</v>
      </c>
      <c r="P14">
        <v>21.717406350000001</v>
      </c>
      <c r="R14" s="4">
        <v>2.8074159999999999</v>
      </c>
      <c r="S14">
        <v>54.122</v>
      </c>
      <c r="U14" s="3">
        <v>3.0388540000000002</v>
      </c>
      <c r="V14">
        <v>33.232999999999997</v>
      </c>
    </row>
    <row r="15" spans="1:22" x14ac:dyDescent="0.25">
      <c r="A15">
        <v>5.9378500000000001</v>
      </c>
      <c r="B15">
        <v>9.6470000000000002</v>
      </c>
      <c r="D15" s="3">
        <v>3.0388540000000002</v>
      </c>
      <c r="E15">
        <v>33.162999999999997</v>
      </c>
      <c r="G15">
        <f t="shared" si="0"/>
        <v>33.393078309552813</v>
      </c>
      <c r="I15">
        <v>3.0388540000000002</v>
      </c>
      <c r="J15">
        <v>33.393078309552813</v>
      </c>
      <c r="L15">
        <v>3.6623638710000002</v>
      </c>
      <c r="M15">
        <v>12.33910309</v>
      </c>
      <c r="O15" s="3">
        <v>3.0388539890000001</v>
      </c>
      <c r="P15">
        <v>33.162697770000001</v>
      </c>
      <c r="R15" s="2">
        <v>2.704183</v>
      </c>
      <c r="S15">
        <v>62.720999999999997</v>
      </c>
      <c r="U15" s="4">
        <v>2.8074159999999999</v>
      </c>
      <c r="V15">
        <v>54.122</v>
      </c>
    </row>
    <row r="16" spans="1:22" x14ac:dyDescent="0.25">
      <c r="A16">
        <v>4.545134</v>
      </c>
      <c r="B16">
        <v>11.205</v>
      </c>
      <c r="D16">
        <v>2.9231349999999998</v>
      </c>
      <c r="E16">
        <v>43.585000000000001</v>
      </c>
      <c r="G16">
        <f t="shared" si="0"/>
        <v>43.887384076285606</v>
      </c>
      <c r="I16">
        <v>2.9231349999999998</v>
      </c>
      <c r="J16">
        <v>43.887384076285606</v>
      </c>
      <c r="L16">
        <v>3.044515278</v>
      </c>
      <c r="M16">
        <v>16.53297165</v>
      </c>
      <c r="O16" s="4">
        <v>2.8074161690000001</v>
      </c>
      <c r="P16">
        <v>54.007042560000002</v>
      </c>
      <c r="R16" s="6">
        <v>0.56466000000000005</v>
      </c>
      <c r="S16">
        <v>99.254999999999995</v>
      </c>
      <c r="U16" s="2">
        <v>2.704183</v>
      </c>
      <c r="V16">
        <v>62.720999999999997</v>
      </c>
    </row>
    <row r="17" spans="1:22" x14ac:dyDescent="0.25">
      <c r="A17">
        <v>3.6623640000000002</v>
      </c>
      <c r="B17">
        <v>12.348000000000001</v>
      </c>
      <c r="D17" s="4">
        <v>2.8074159999999999</v>
      </c>
      <c r="E17">
        <v>54.006999999999998</v>
      </c>
      <c r="G17">
        <f t="shared" si="0"/>
        <v>54.381689843018393</v>
      </c>
      <c r="I17">
        <v>2.8074159999999999</v>
      </c>
      <c r="J17">
        <v>54.381689843018393</v>
      </c>
      <c r="L17">
        <v>2.9234850539999999</v>
      </c>
      <c r="M17">
        <v>23.693930900000002</v>
      </c>
      <c r="O17" s="2">
        <v>2.7041833620000002</v>
      </c>
      <c r="P17">
        <v>62.587600719999998</v>
      </c>
      <c r="R17" s="7">
        <v>0.30465999999999999</v>
      </c>
      <c r="S17">
        <v>99.567999999999998</v>
      </c>
      <c r="U17" s="6">
        <v>0.56466000000000005</v>
      </c>
      <c r="V17">
        <v>99.254999999999995</v>
      </c>
    </row>
    <row r="18" spans="1:22" x14ac:dyDescent="0.25">
      <c r="A18">
        <v>3.0445150000000001</v>
      </c>
      <c r="B18">
        <v>16.55</v>
      </c>
      <c r="D18">
        <v>2.7557999999999998</v>
      </c>
      <c r="E18">
        <v>58.296999999999997</v>
      </c>
      <c r="G18">
        <f t="shared" si="0"/>
        <v>58.701453011247487</v>
      </c>
      <c r="I18">
        <v>2.7557999999999998</v>
      </c>
      <c r="J18">
        <v>58.701453011247487</v>
      </c>
      <c r="L18">
        <v>2.7594846730000002</v>
      </c>
      <c r="M18">
        <v>37.58790363</v>
      </c>
      <c r="O18" s="6">
        <v>0.56466000000000005</v>
      </c>
      <c r="P18">
        <v>99.044179479999997</v>
      </c>
      <c r="R18" s="9">
        <v>0.20466000000000001</v>
      </c>
      <c r="S18">
        <v>99.709000000000003</v>
      </c>
      <c r="U18" s="7">
        <v>0.30465999999999999</v>
      </c>
      <c r="V18">
        <v>99.567999999999998</v>
      </c>
    </row>
    <row r="19" spans="1:22" x14ac:dyDescent="0.25">
      <c r="A19">
        <v>2.984</v>
      </c>
      <c r="B19">
        <v>20.137</v>
      </c>
      <c r="D19" s="2">
        <v>2.704183</v>
      </c>
      <c r="E19">
        <v>62.588000000000001</v>
      </c>
      <c r="G19">
        <f t="shared" si="0"/>
        <v>63.022223117278045</v>
      </c>
      <c r="I19">
        <v>2.704183</v>
      </c>
      <c r="J19">
        <v>63.022223117278045</v>
      </c>
      <c r="L19">
        <v>2.6129069650000001</v>
      </c>
      <c r="M19">
        <v>54.021021269999999</v>
      </c>
      <c r="O19">
        <v>0.50466</v>
      </c>
      <c r="P19">
        <v>99.104657180000004</v>
      </c>
      <c r="R19" s="8">
        <v>0.10466</v>
      </c>
      <c r="S19">
        <v>99.918999999999997</v>
      </c>
      <c r="U19" s="9">
        <v>0.20466000000000001</v>
      </c>
      <c r="V19">
        <v>99.709000000000003</v>
      </c>
    </row>
    <row r="20" spans="1:22" x14ac:dyDescent="0.25">
      <c r="A20">
        <v>2.9234849999999999</v>
      </c>
      <c r="B20">
        <v>23.724</v>
      </c>
      <c r="D20">
        <v>9.1791999999999999E-2</v>
      </c>
      <c r="E20">
        <v>98.19</v>
      </c>
      <c r="G20">
        <f t="shared" si="0"/>
        <v>98.871222724572291</v>
      </c>
      <c r="I20">
        <v>9.1791999999999999E-2</v>
      </c>
      <c r="J20">
        <v>98.871222724572291</v>
      </c>
      <c r="L20">
        <v>2.5236879390000002</v>
      </c>
      <c r="M20">
        <v>71.709446499999999</v>
      </c>
      <c r="O20">
        <v>0.40466000000000002</v>
      </c>
      <c r="P20">
        <v>99.222429550000001</v>
      </c>
      <c r="R20" s="6">
        <v>7.4660000000000004E-2</v>
      </c>
      <c r="S20">
        <v>100</v>
      </c>
      <c r="U20" s="8">
        <v>0.10466</v>
      </c>
      <c r="V20">
        <v>99.918999999999997</v>
      </c>
    </row>
    <row r="21" spans="1:22" x14ac:dyDescent="0.25">
      <c r="A21">
        <v>2.841485</v>
      </c>
      <c r="B21">
        <v>30.684000000000001</v>
      </c>
      <c r="D21">
        <v>5.7919999999999999E-2</v>
      </c>
      <c r="E21">
        <v>98.896000000000001</v>
      </c>
      <c r="G21">
        <f t="shared" si="0"/>
        <v>99.58212081239742</v>
      </c>
      <c r="I21">
        <v>5.7919999999999999E-2</v>
      </c>
      <c r="J21">
        <v>99.58212081239742</v>
      </c>
      <c r="L21">
        <v>2.4001392469999998</v>
      </c>
      <c r="M21">
        <v>83.492220090000004</v>
      </c>
      <c r="O21" s="7">
        <v>0.30465999999999999</v>
      </c>
      <c r="P21">
        <v>99.356117100000006</v>
      </c>
      <c r="U21" s="6">
        <v>7.4660000000000004E-2</v>
      </c>
      <c r="V21">
        <v>100</v>
      </c>
    </row>
    <row r="22" spans="1:22" x14ac:dyDescent="0.25">
      <c r="A22">
        <v>2.7594850000000002</v>
      </c>
      <c r="B22">
        <v>37.645000000000003</v>
      </c>
      <c r="D22">
        <v>3.0907E-2</v>
      </c>
      <c r="E22">
        <v>99.311000000000007</v>
      </c>
      <c r="G22">
        <f>E22*100/$E$22</f>
        <v>100</v>
      </c>
      <c r="I22">
        <v>3.0907E-2</v>
      </c>
      <c r="J22">
        <v>100</v>
      </c>
      <c r="L22">
        <v>0.56466000000000005</v>
      </c>
      <c r="M22">
        <v>98.131305560000001</v>
      </c>
      <c r="O22" s="9">
        <v>0.20466000000000001</v>
      </c>
      <c r="P22">
        <v>99.497080159999996</v>
      </c>
      <c r="U22" s="12">
        <v>3.4660000000000003E-2</v>
      </c>
      <c r="V22" s="12">
        <v>100</v>
      </c>
    </row>
    <row r="23" spans="1:22" x14ac:dyDescent="0.25">
      <c r="A23">
        <v>2.6861959999999998</v>
      </c>
      <c r="B23">
        <v>45.877000000000002</v>
      </c>
      <c r="D23">
        <v>1.0893E-2</v>
      </c>
      <c r="E23">
        <v>99.718999999999994</v>
      </c>
      <c r="L23">
        <v>0.55466000000000004</v>
      </c>
      <c r="M23">
        <v>98.148423390000005</v>
      </c>
      <c r="O23">
        <v>0.18465999999999999</v>
      </c>
      <c r="P23">
        <v>99.533003010000002</v>
      </c>
    </row>
    <row r="24" spans="1:22" x14ac:dyDescent="0.25">
      <c r="A24">
        <v>2.6129069999999999</v>
      </c>
      <c r="B24">
        <v>54.109000000000002</v>
      </c>
      <c r="D24">
        <v>4.0429999999999997E-3</v>
      </c>
      <c r="E24">
        <v>99.936999999999998</v>
      </c>
      <c r="L24">
        <v>0.49465999999999999</v>
      </c>
      <c r="M24">
        <v>98.261115770000004</v>
      </c>
      <c r="O24" s="8">
        <v>0.10466</v>
      </c>
      <c r="P24">
        <v>99.706705880000001</v>
      </c>
    </row>
    <row r="25" spans="1:22" x14ac:dyDescent="0.25">
      <c r="A25">
        <v>2.5682969999999998</v>
      </c>
      <c r="B25">
        <v>62.97</v>
      </c>
      <c r="D25">
        <v>2.49E-3</v>
      </c>
      <c r="E25">
        <v>99.972999999999999</v>
      </c>
      <c r="L25">
        <v>0.42465999999999998</v>
      </c>
      <c r="M25">
        <v>98.412323279999995</v>
      </c>
      <c r="O25" s="6">
        <v>7.4660000000000004E-2</v>
      </c>
      <c r="P25">
        <v>99.787191239999999</v>
      </c>
    </row>
    <row r="26" spans="1:22" x14ac:dyDescent="0.25">
      <c r="A26">
        <v>2.5236879999999999</v>
      </c>
      <c r="B26">
        <v>71.83</v>
      </c>
      <c r="D26">
        <v>1.0640000000000001E-3</v>
      </c>
      <c r="E26">
        <v>99.998999999999995</v>
      </c>
      <c r="L26">
        <v>0.32466</v>
      </c>
      <c r="M26">
        <v>98.656252370000004</v>
      </c>
      <c r="O26">
        <v>4.9399999999999999E-3</v>
      </c>
      <c r="P26">
        <v>99.999545280000007</v>
      </c>
    </row>
    <row r="27" spans="1:22" x14ac:dyDescent="0.25">
      <c r="A27">
        <v>2.4619140000000002</v>
      </c>
      <c r="B27">
        <v>77.733000000000004</v>
      </c>
      <c r="D27">
        <v>6.2600000000000004E-4</v>
      </c>
      <c r="E27">
        <v>100</v>
      </c>
      <c r="L27">
        <v>0.20466000000000001</v>
      </c>
      <c r="M27">
        <v>98.970079269999999</v>
      </c>
      <c r="O27">
        <v>2.6773999999999999E-3</v>
      </c>
      <c r="P27">
        <v>100</v>
      </c>
    </row>
    <row r="28" spans="1:22" x14ac:dyDescent="0.25">
      <c r="A28">
        <v>2.4001389999999998</v>
      </c>
      <c r="B28">
        <v>83.635000000000005</v>
      </c>
      <c r="L28">
        <v>0.15465999999999999</v>
      </c>
      <c r="M28">
        <v>99.165507840000004</v>
      </c>
      <c r="O28">
        <v>1.8064999999999999E-3</v>
      </c>
      <c r="P28">
        <v>100</v>
      </c>
    </row>
    <row r="29" spans="1:22" x14ac:dyDescent="0.25">
      <c r="A29">
        <v>0.56466000000000005</v>
      </c>
      <c r="B29">
        <v>98.302000000000007</v>
      </c>
      <c r="L29">
        <v>0.11466</v>
      </c>
      <c r="M29">
        <v>99.350951010000003</v>
      </c>
      <c r="O29">
        <v>1.0757E-3</v>
      </c>
      <c r="P29">
        <v>100</v>
      </c>
    </row>
    <row r="30" spans="1:22" x14ac:dyDescent="0.25">
      <c r="A30">
        <v>0.42465999999999998</v>
      </c>
      <c r="B30">
        <v>98.584000000000003</v>
      </c>
      <c r="L30">
        <v>7.4660000000000004E-2</v>
      </c>
      <c r="M30">
        <v>99.570629830000001</v>
      </c>
      <c r="O30">
        <v>6.2969999999999996E-4</v>
      </c>
      <c r="P30">
        <v>100</v>
      </c>
    </row>
    <row r="31" spans="1:22" x14ac:dyDescent="0.25">
      <c r="A31">
        <v>0.32466</v>
      </c>
      <c r="B31">
        <v>98.828000000000003</v>
      </c>
      <c r="L31">
        <v>5.466E-2</v>
      </c>
      <c r="M31">
        <v>99.694734109999999</v>
      </c>
      <c r="O31">
        <v>4.6250000000000002E-4</v>
      </c>
      <c r="P31">
        <v>100</v>
      </c>
    </row>
    <row r="32" spans="1:22" x14ac:dyDescent="0.25">
      <c r="A32">
        <v>0.20466000000000001</v>
      </c>
      <c r="B32">
        <v>99.141999999999996</v>
      </c>
      <c r="L32">
        <v>3.4660000000000003E-2</v>
      </c>
      <c r="M32">
        <v>99.825970810000001</v>
      </c>
    </row>
    <row r="33" spans="1:13" x14ac:dyDescent="0.25">
      <c r="A33">
        <v>0.15465999999999999</v>
      </c>
      <c r="B33">
        <v>99.337999999999994</v>
      </c>
      <c r="L33">
        <v>2.4660000000000001E-2</v>
      </c>
      <c r="M33">
        <v>99.890162680000003</v>
      </c>
    </row>
    <row r="34" spans="1:13" x14ac:dyDescent="0.25">
      <c r="A34">
        <v>0.11466</v>
      </c>
      <c r="B34">
        <v>99.524000000000001</v>
      </c>
      <c r="L34">
        <v>1.4659999999999999E-2</v>
      </c>
      <c r="M34">
        <v>99.948648599999999</v>
      </c>
    </row>
    <row r="35" spans="1:13" x14ac:dyDescent="0.25">
      <c r="A35">
        <v>7.4660000000000004E-2</v>
      </c>
      <c r="B35">
        <v>99.744</v>
      </c>
      <c r="L35">
        <v>8.2900000000000005E-3</v>
      </c>
      <c r="M35">
        <v>99.995722630000003</v>
      </c>
    </row>
    <row r="36" spans="1:13" x14ac:dyDescent="0.25">
      <c r="A36">
        <v>5.466E-2</v>
      </c>
      <c r="B36">
        <v>99.869</v>
      </c>
      <c r="L36">
        <v>6.2599999999999999E-3</v>
      </c>
      <c r="M36">
        <v>99.998575610000003</v>
      </c>
    </row>
    <row r="37" spans="1:13" x14ac:dyDescent="0.25">
      <c r="A37" s="12">
        <v>3.4660000000000003E-2</v>
      </c>
      <c r="B37" s="12">
        <v>100</v>
      </c>
      <c r="L37">
        <v>3.9699999999999996E-3</v>
      </c>
      <c r="M37">
        <v>100.0000021</v>
      </c>
    </row>
    <row r="38" spans="1:13" x14ac:dyDescent="0.25">
      <c r="L38">
        <v>2.6773999999999999E-3</v>
      </c>
      <c r="M38">
        <v>100.0000021</v>
      </c>
    </row>
    <row r="39" spans="1:13" x14ac:dyDescent="0.25">
      <c r="L39">
        <v>1.8064999999999999E-3</v>
      </c>
      <c r="M39">
        <v>100.0000021</v>
      </c>
    </row>
    <row r="40" spans="1:13" x14ac:dyDescent="0.25">
      <c r="L40">
        <v>1.266E-3</v>
      </c>
      <c r="M40">
        <v>100.0000021</v>
      </c>
    </row>
    <row r="41" spans="1:13" x14ac:dyDescent="0.25">
      <c r="L41">
        <v>9.2369999999999996E-4</v>
      </c>
      <c r="M41">
        <v>100.0000021</v>
      </c>
    </row>
    <row r="42" spans="1:13" x14ac:dyDescent="0.25">
      <c r="L42">
        <v>7.0589999999999997E-4</v>
      </c>
      <c r="M42">
        <v>100.0000021</v>
      </c>
    </row>
    <row r="43" spans="1:13" x14ac:dyDescent="0.25">
      <c r="L43">
        <v>5.7039999999999999E-4</v>
      </c>
      <c r="M43">
        <v>100.0000021</v>
      </c>
    </row>
    <row r="44" spans="1:13" x14ac:dyDescent="0.25">
      <c r="L44">
        <v>4.6250000000000002E-4</v>
      </c>
      <c r="M44">
        <v>100.0000021</v>
      </c>
    </row>
  </sheetData>
  <mergeCells count="2">
    <mergeCell ref="L1:P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comparison chart</vt:lpstr>
      <vt:lpstr>comparison chart 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Matthews</cp:lastModifiedBy>
  <dcterms:created xsi:type="dcterms:W3CDTF">2025-06-04T09:24:58Z</dcterms:created>
  <dcterms:modified xsi:type="dcterms:W3CDTF">2025-06-16T11:51:48Z</dcterms:modified>
</cp:coreProperties>
</file>