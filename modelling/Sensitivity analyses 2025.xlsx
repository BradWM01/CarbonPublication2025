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5c74938eaa1f60/Desktop/Files for Publication/"/>
    </mc:Choice>
  </mc:AlternateContent>
  <xr:revisionPtr revIDLastSave="20" documentId="8_{23D74409-0C6C-4392-8E74-AED8A9AAA6B4}" xr6:coauthVersionLast="47" xr6:coauthVersionMax="47" xr10:uidLastSave="{3DD0BE00-13DE-4B16-8F16-A1399920FCA7}"/>
  <bookViews>
    <workbookView xWindow="-108" yWindow="-108" windowWidth="23256" windowHeight="13896" xr2:uid="{00000000-000D-0000-FFFF-FFFF00000000}"/>
  </bookViews>
  <sheets>
    <sheet name="Final Sensitivity Analysis" sheetId="13" r:id="rId1"/>
    <sheet name="BAD - Sensitivity analysis New" sheetId="12" state="hidden" r:id="rId2"/>
    <sheet name="Sensitivity analysis" sheetId="11" state="hidden" r:id="rId3"/>
  </sheets>
  <definedNames>
    <definedName name="_xlnm.Print_Area" localSheetId="1">'BAD - Sensitivity analysis New'!$A$3:$F$38</definedName>
    <definedName name="_xlnm.Print_Area" localSheetId="0">'Final Sensitivity Analysis'!$A$3:$F$38</definedName>
    <definedName name="_xlnm.Print_Area" localSheetId="2">'Sensitivity analysis'!$A$3:$F$38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13" l="1"/>
  <c r="D100" i="13"/>
  <c r="E100" i="13"/>
  <c r="F100" i="13"/>
  <c r="B100" i="13"/>
  <c r="C88" i="13"/>
  <c r="D88" i="13"/>
  <c r="E88" i="13"/>
  <c r="F88" i="13"/>
  <c r="B88" i="13"/>
  <c r="B74" i="13"/>
  <c r="C74" i="13"/>
  <c r="D74" i="13"/>
  <c r="E74" i="13"/>
  <c r="F74" i="13"/>
  <c r="G74" i="13"/>
  <c r="H74" i="13"/>
  <c r="I74" i="13"/>
  <c r="J74" i="13"/>
  <c r="R79" i="13" s="1"/>
  <c r="R81" i="13" s="1"/>
  <c r="K74" i="13"/>
  <c r="Q79" i="13"/>
  <c r="B50" i="13"/>
  <c r="C50" i="13"/>
  <c r="D50" i="13"/>
  <c r="E50" i="13"/>
  <c r="F50" i="13"/>
  <c r="G50" i="13"/>
  <c r="H50" i="13"/>
  <c r="I50" i="13"/>
  <c r="J50" i="13"/>
  <c r="K50" i="13"/>
  <c r="B62" i="13"/>
  <c r="C62" i="13"/>
  <c r="D62" i="13"/>
  <c r="E62" i="13"/>
  <c r="F62" i="13"/>
  <c r="G62" i="13"/>
  <c r="H62" i="13"/>
  <c r="I62" i="13"/>
  <c r="J62" i="13"/>
  <c r="K62" i="13"/>
  <c r="J37" i="13"/>
  <c r="R28" i="12"/>
  <c r="Q28" i="12"/>
  <c r="G13" i="13"/>
  <c r="K74" i="12"/>
  <c r="J74" i="12"/>
  <c r="I74" i="12"/>
  <c r="H74" i="12"/>
  <c r="G74" i="12"/>
  <c r="F74" i="12"/>
  <c r="E74" i="12"/>
  <c r="D74" i="12"/>
  <c r="C74" i="12"/>
  <c r="B74" i="12"/>
  <c r="K62" i="12"/>
  <c r="J62" i="12"/>
  <c r="I62" i="12"/>
  <c r="H62" i="12"/>
  <c r="G62" i="12"/>
  <c r="F62" i="12"/>
  <c r="E62" i="12"/>
  <c r="D62" i="12"/>
  <c r="C62" i="12"/>
  <c r="B62" i="12"/>
  <c r="K50" i="12"/>
  <c r="J50" i="12"/>
  <c r="I50" i="12"/>
  <c r="H50" i="12"/>
  <c r="G50" i="12"/>
  <c r="F50" i="12"/>
  <c r="E50" i="12"/>
  <c r="D50" i="12"/>
  <c r="C50" i="12"/>
  <c r="B50" i="12"/>
  <c r="K37" i="12"/>
  <c r="J37" i="12"/>
  <c r="I37" i="12"/>
  <c r="H37" i="12"/>
  <c r="G37" i="12"/>
  <c r="F37" i="12"/>
  <c r="E37" i="12"/>
  <c r="D37" i="12"/>
  <c r="C37" i="12"/>
  <c r="B37" i="12"/>
  <c r="K25" i="12"/>
  <c r="J25" i="12"/>
  <c r="I25" i="12"/>
  <c r="H25" i="12"/>
  <c r="G25" i="12"/>
  <c r="F25" i="12"/>
  <c r="E25" i="12"/>
  <c r="D25" i="12"/>
  <c r="C25" i="12"/>
  <c r="B25" i="12"/>
  <c r="K13" i="12"/>
  <c r="J13" i="12"/>
  <c r="I13" i="12"/>
  <c r="H13" i="12"/>
  <c r="G13" i="12"/>
  <c r="F13" i="12"/>
  <c r="E13" i="12"/>
  <c r="D13" i="12"/>
  <c r="C13" i="12"/>
  <c r="B13" i="12"/>
  <c r="K13" i="13"/>
  <c r="J13" i="13"/>
  <c r="I13" i="13"/>
  <c r="H13" i="13"/>
  <c r="F13" i="13"/>
  <c r="E13" i="13"/>
  <c r="D13" i="13"/>
  <c r="C13" i="13"/>
  <c r="B13" i="13"/>
  <c r="K25" i="13"/>
  <c r="J25" i="13"/>
  <c r="I25" i="13"/>
  <c r="H25" i="13"/>
  <c r="G25" i="13"/>
  <c r="F25" i="13"/>
  <c r="E25" i="13"/>
  <c r="D25" i="13"/>
  <c r="C25" i="13"/>
  <c r="B25" i="13"/>
  <c r="K37" i="13"/>
  <c r="I37" i="13"/>
  <c r="H37" i="13"/>
  <c r="G37" i="13"/>
  <c r="F37" i="13"/>
  <c r="E37" i="13"/>
  <c r="D37" i="13"/>
  <c r="C37" i="13"/>
  <c r="B37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L73" i="12"/>
  <c r="L72" i="12"/>
  <c r="M30" i="12"/>
  <c r="L30" i="12"/>
  <c r="M43" i="12"/>
  <c r="L43" i="12"/>
  <c r="O43" i="12"/>
  <c r="N43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L11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73" i="12"/>
  <c r="M72" i="12"/>
  <c r="M71" i="12"/>
  <c r="L71" i="12"/>
  <c r="M70" i="12"/>
  <c r="L70" i="12"/>
  <c r="M69" i="12"/>
  <c r="L69" i="12"/>
  <c r="M68" i="12"/>
  <c r="L68" i="12"/>
  <c r="M67" i="12"/>
  <c r="L67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2" i="12"/>
  <c r="L12" i="12"/>
  <c r="M11" i="12"/>
  <c r="M10" i="12"/>
  <c r="L10" i="12"/>
  <c r="M9" i="12"/>
  <c r="L9" i="12"/>
  <c r="M8" i="12"/>
  <c r="L8" i="12"/>
  <c r="M7" i="12"/>
  <c r="L7" i="12"/>
  <c r="M6" i="12"/>
  <c r="L6" i="12"/>
  <c r="N99" i="11"/>
  <c r="M99" i="11"/>
  <c r="N98" i="11"/>
  <c r="M98" i="11"/>
  <c r="N97" i="11"/>
  <c r="M97" i="11"/>
  <c r="N96" i="11"/>
  <c r="M96" i="11"/>
  <c r="N95" i="11"/>
  <c r="M95" i="11"/>
  <c r="N94" i="11"/>
  <c r="M94" i="11"/>
  <c r="N93" i="11"/>
  <c r="M93" i="11"/>
  <c r="N87" i="11"/>
  <c r="M87" i="11"/>
  <c r="N86" i="11"/>
  <c r="M86" i="11"/>
  <c r="N85" i="11"/>
  <c r="M85" i="11"/>
  <c r="N84" i="11"/>
  <c r="M84" i="11"/>
  <c r="N83" i="11"/>
  <c r="M83" i="11"/>
  <c r="N82" i="11"/>
  <c r="M82" i="11"/>
  <c r="N81" i="11"/>
  <c r="M81" i="11"/>
  <c r="L48" i="11"/>
  <c r="M48" i="11"/>
  <c r="L47" i="11"/>
  <c r="N73" i="11"/>
  <c r="M73" i="11"/>
  <c r="N72" i="11"/>
  <c r="M72" i="11"/>
  <c r="N71" i="11"/>
  <c r="M71" i="11"/>
  <c r="N70" i="11"/>
  <c r="M70" i="11"/>
  <c r="N69" i="11"/>
  <c r="M69" i="11"/>
  <c r="N68" i="11"/>
  <c r="M68" i="11"/>
  <c r="N67" i="11"/>
  <c r="M67" i="11"/>
  <c r="N61" i="11"/>
  <c r="M61" i="11"/>
  <c r="N60" i="11"/>
  <c r="M60" i="11"/>
  <c r="N59" i="11"/>
  <c r="M59" i="11"/>
  <c r="N58" i="11"/>
  <c r="M58" i="11"/>
  <c r="N57" i="11"/>
  <c r="M57" i="11"/>
  <c r="N56" i="11"/>
  <c r="M56" i="11"/>
  <c r="N55" i="11"/>
  <c r="M55" i="11"/>
  <c r="M49" i="11"/>
  <c r="L49" i="11"/>
  <c r="M47" i="11"/>
  <c r="M46" i="11"/>
  <c r="L46" i="11"/>
  <c r="M45" i="11"/>
  <c r="L45" i="11"/>
  <c r="M44" i="11"/>
  <c r="L44" i="11"/>
  <c r="M43" i="11"/>
  <c r="L43" i="11"/>
  <c r="M35" i="11"/>
  <c r="M34" i="11"/>
  <c r="M11" i="11"/>
  <c r="N36" i="11"/>
  <c r="M36" i="11"/>
  <c r="N35" i="11"/>
  <c r="N34" i="11"/>
  <c r="N33" i="11"/>
  <c r="M33" i="11"/>
  <c r="N32" i="11"/>
  <c r="M32" i="11"/>
  <c r="N31" i="11"/>
  <c r="M31" i="11"/>
  <c r="N30" i="11"/>
  <c r="M30" i="11"/>
  <c r="O30" i="11" s="1"/>
  <c r="N24" i="11"/>
  <c r="M24" i="11"/>
  <c r="N23" i="11"/>
  <c r="M23" i="11"/>
  <c r="N22" i="11"/>
  <c r="M22" i="11"/>
  <c r="N21" i="11"/>
  <c r="M21" i="11"/>
  <c r="N20" i="11"/>
  <c r="M20" i="11"/>
  <c r="N19" i="11"/>
  <c r="M19" i="11"/>
  <c r="N18" i="11"/>
  <c r="M18" i="11"/>
  <c r="N11" i="11"/>
  <c r="N7" i="11"/>
  <c r="N8" i="11"/>
  <c r="N9" i="11"/>
  <c r="N10" i="11"/>
  <c r="N12" i="11"/>
  <c r="M7" i="11"/>
  <c r="M8" i="11"/>
  <c r="M9" i="11"/>
  <c r="M10" i="11"/>
  <c r="M12" i="11"/>
  <c r="N6" i="11"/>
  <c r="M6" i="11"/>
  <c r="Q81" i="13" l="1"/>
  <c r="O6" i="13"/>
  <c r="N6" i="13"/>
  <c r="O7" i="13"/>
  <c r="N7" i="13"/>
  <c r="O8" i="13"/>
  <c r="N8" i="13"/>
  <c r="O9" i="13"/>
  <c r="N9" i="13"/>
  <c r="O10" i="13"/>
  <c r="N10" i="13"/>
  <c r="O11" i="13"/>
  <c r="N11" i="13"/>
  <c r="O12" i="13"/>
  <c r="N12" i="13"/>
  <c r="O18" i="13"/>
  <c r="N18" i="13"/>
  <c r="O19" i="13"/>
  <c r="N19" i="13"/>
  <c r="O20" i="13"/>
  <c r="N20" i="13"/>
  <c r="O21" i="13"/>
  <c r="N21" i="13"/>
  <c r="O22" i="13"/>
  <c r="N22" i="13"/>
  <c r="O23" i="13"/>
  <c r="N23" i="13"/>
  <c r="O24" i="13"/>
  <c r="N24" i="13"/>
  <c r="O30" i="13"/>
  <c r="N30" i="13"/>
  <c r="O31" i="13"/>
  <c r="N31" i="13"/>
  <c r="O32" i="13"/>
  <c r="N32" i="13"/>
  <c r="O33" i="13"/>
  <c r="N33" i="13"/>
  <c r="O34" i="13"/>
  <c r="N34" i="13"/>
  <c r="O35" i="13"/>
  <c r="N35" i="13"/>
  <c r="O36" i="13"/>
  <c r="N36" i="13"/>
  <c r="O43" i="13"/>
  <c r="N43" i="13"/>
  <c r="O44" i="13"/>
  <c r="N44" i="13"/>
  <c r="O45" i="13"/>
  <c r="N45" i="13"/>
  <c r="O46" i="13"/>
  <c r="N46" i="13"/>
  <c r="O47" i="13"/>
  <c r="N47" i="13"/>
  <c r="O48" i="13"/>
  <c r="N48" i="13"/>
  <c r="O49" i="13"/>
  <c r="N49" i="13"/>
  <c r="O55" i="13"/>
  <c r="N55" i="13"/>
  <c r="O56" i="13"/>
  <c r="N56" i="13"/>
  <c r="O57" i="13"/>
  <c r="N57" i="13"/>
  <c r="O58" i="13"/>
  <c r="N58" i="13"/>
  <c r="O59" i="13"/>
  <c r="N59" i="13"/>
  <c r="O60" i="13"/>
  <c r="N60" i="13"/>
  <c r="O61" i="13"/>
  <c r="N61" i="13"/>
  <c r="O67" i="13"/>
  <c r="N67" i="13"/>
  <c r="O68" i="13"/>
  <c r="N68" i="13"/>
  <c r="O69" i="13"/>
  <c r="N69" i="13"/>
  <c r="O70" i="13"/>
  <c r="N70" i="13"/>
  <c r="O71" i="13"/>
  <c r="N71" i="13"/>
  <c r="O72" i="13"/>
  <c r="N72" i="13"/>
  <c r="O73" i="13"/>
  <c r="N73" i="13"/>
  <c r="O81" i="13"/>
  <c r="N81" i="13"/>
  <c r="O82" i="13"/>
  <c r="N82" i="13"/>
  <c r="O83" i="13"/>
  <c r="N83" i="13"/>
  <c r="O84" i="13"/>
  <c r="N84" i="13"/>
  <c r="O85" i="13"/>
  <c r="N85" i="13"/>
  <c r="O86" i="13"/>
  <c r="N86" i="13"/>
  <c r="O87" i="13"/>
  <c r="N87" i="13"/>
  <c r="O93" i="13"/>
  <c r="N93" i="13"/>
  <c r="O94" i="13"/>
  <c r="N94" i="13"/>
  <c r="O95" i="13"/>
  <c r="N95" i="13"/>
  <c r="O96" i="13"/>
  <c r="N96" i="13"/>
  <c r="O97" i="13"/>
  <c r="N97" i="13"/>
  <c r="O98" i="13"/>
  <c r="N98" i="13"/>
  <c r="O99" i="13"/>
  <c r="N99" i="13"/>
  <c r="O30" i="12"/>
  <c r="N30" i="12"/>
  <c r="O44" i="12"/>
  <c r="N44" i="12"/>
  <c r="O45" i="12"/>
  <c r="N45" i="12"/>
  <c r="O46" i="12"/>
  <c r="N46" i="12"/>
  <c r="O47" i="12"/>
  <c r="N47" i="12"/>
  <c r="O48" i="12"/>
  <c r="N48" i="12"/>
  <c r="O49" i="12"/>
  <c r="N49" i="12"/>
  <c r="O6" i="12"/>
  <c r="N6" i="12"/>
  <c r="O7" i="12"/>
  <c r="N7" i="12"/>
  <c r="O8" i="12"/>
  <c r="N8" i="12"/>
  <c r="O9" i="12"/>
  <c r="N9" i="12"/>
  <c r="O10" i="12"/>
  <c r="N10" i="12"/>
  <c r="O11" i="12"/>
  <c r="N11" i="12"/>
  <c r="O12" i="12"/>
  <c r="N12" i="12"/>
  <c r="O18" i="12"/>
  <c r="N18" i="12"/>
  <c r="O19" i="12"/>
  <c r="N19" i="12"/>
  <c r="O20" i="12"/>
  <c r="N20" i="12"/>
  <c r="O21" i="12"/>
  <c r="N21" i="12"/>
  <c r="O22" i="12"/>
  <c r="N22" i="12"/>
  <c r="O23" i="12"/>
  <c r="N23" i="12"/>
  <c r="O24" i="12"/>
  <c r="N24" i="12"/>
  <c r="O31" i="12"/>
  <c r="N31" i="12"/>
  <c r="O32" i="12"/>
  <c r="N32" i="12"/>
  <c r="O33" i="12"/>
  <c r="N33" i="12"/>
  <c r="O34" i="12"/>
  <c r="N34" i="12"/>
  <c r="O35" i="12"/>
  <c r="N35" i="12"/>
  <c r="O36" i="12"/>
  <c r="N36" i="12"/>
  <c r="O55" i="12"/>
  <c r="N55" i="12"/>
  <c r="O56" i="12"/>
  <c r="N56" i="12"/>
  <c r="O57" i="12"/>
  <c r="N57" i="12"/>
  <c r="O58" i="12"/>
  <c r="N58" i="12"/>
  <c r="O59" i="12"/>
  <c r="N59" i="12"/>
  <c r="O60" i="12"/>
  <c r="N60" i="12"/>
  <c r="O61" i="12"/>
  <c r="N61" i="12"/>
  <c r="O67" i="12"/>
  <c r="N67" i="12"/>
  <c r="O68" i="12"/>
  <c r="N68" i="12"/>
  <c r="O69" i="12"/>
  <c r="N69" i="12"/>
  <c r="O70" i="12"/>
  <c r="N70" i="12"/>
  <c r="O71" i="12"/>
  <c r="N71" i="12"/>
  <c r="O72" i="12"/>
  <c r="N72" i="12"/>
  <c r="O73" i="12"/>
  <c r="N73" i="12"/>
  <c r="O81" i="12"/>
  <c r="N81" i="12"/>
  <c r="O82" i="12"/>
  <c r="N82" i="12"/>
  <c r="O83" i="12"/>
  <c r="N83" i="12"/>
  <c r="O84" i="12"/>
  <c r="N84" i="12"/>
  <c r="O85" i="12"/>
  <c r="N85" i="12"/>
  <c r="O86" i="12"/>
  <c r="N86" i="12"/>
  <c r="O87" i="12"/>
  <c r="N87" i="12"/>
  <c r="O93" i="12"/>
  <c r="N93" i="12"/>
  <c r="O94" i="12"/>
  <c r="N94" i="12"/>
  <c r="O95" i="12"/>
  <c r="N95" i="12"/>
  <c r="O96" i="12"/>
  <c r="N96" i="12"/>
  <c r="O97" i="12"/>
  <c r="N97" i="12"/>
  <c r="O98" i="12"/>
  <c r="N98" i="12"/>
  <c r="O99" i="12"/>
  <c r="N99" i="12"/>
  <c r="P93" i="11"/>
  <c r="O93" i="11"/>
  <c r="P94" i="11"/>
  <c r="O94" i="11"/>
  <c r="P95" i="11"/>
  <c r="O95" i="11"/>
  <c r="P96" i="11"/>
  <c r="O96" i="11"/>
  <c r="P97" i="11"/>
  <c r="O97" i="11"/>
  <c r="P98" i="11"/>
  <c r="O98" i="11"/>
  <c r="P99" i="11"/>
  <c r="O99" i="11"/>
  <c r="P81" i="11"/>
  <c r="O81" i="11"/>
  <c r="P82" i="11"/>
  <c r="O82" i="11"/>
  <c r="P83" i="11"/>
  <c r="O83" i="11"/>
  <c r="P84" i="11"/>
  <c r="O84" i="11"/>
  <c r="P85" i="11"/>
  <c r="O85" i="11"/>
  <c r="P86" i="11"/>
  <c r="O86" i="11"/>
  <c r="P87" i="11"/>
  <c r="O87" i="11"/>
  <c r="O43" i="11"/>
  <c r="N43" i="11"/>
  <c r="O44" i="11"/>
  <c r="N44" i="11"/>
  <c r="O45" i="11"/>
  <c r="N45" i="11"/>
  <c r="O46" i="11"/>
  <c r="N46" i="11"/>
  <c r="O47" i="11"/>
  <c r="N47" i="11"/>
  <c r="O48" i="11"/>
  <c r="N48" i="11"/>
  <c r="O49" i="11"/>
  <c r="N49" i="11"/>
  <c r="P55" i="11"/>
  <c r="O55" i="11"/>
  <c r="P56" i="11"/>
  <c r="O56" i="11"/>
  <c r="P57" i="11"/>
  <c r="O57" i="11"/>
  <c r="P58" i="11"/>
  <c r="O58" i="11"/>
  <c r="P59" i="11"/>
  <c r="O59" i="11"/>
  <c r="P60" i="11"/>
  <c r="O60" i="11"/>
  <c r="P61" i="11"/>
  <c r="O61" i="11"/>
  <c r="P67" i="11"/>
  <c r="O67" i="11"/>
  <c r="P68" i="11"/>
  <c r="O68" i="11"/>
  <c r="P69" i="11"/>
  <c r="O69" i="11"/>
  <c r="P70" i="11"/>
  <c r="O70" i="11"/>
  <c r="P71" i="11"/>
  <c r="O71" i="11"/>
  <c r="P72" i="11"/>
  <c r="O72" i="11"/>
  <c r="P73" i="11"/>
  <c r="O73" i="11"/>
  <c r="P18" i="11"/>
  <c r="O18" i="11"/>
  <c r="O32" i="11"/>
  <c r="P36" i="11"/>
  <c r="P30" i="11"/>
  <c r="P32" i="11"/>
  <c r="O31" i="11"/>
  <c r="P35" i="11"/>
  <c r="P33" i="11"/>
  <c r="O34" i="11"/>
  <c r="O36" i="11"/>
  <c r="O33" i="11"/>
  <c r="P34" i="11"/>
  <c r="O35" i="11"/>
  <c r="P31" i="11"/>
  <c r="P19" i="11"/>
  <c r="O19" i="11"/>
  <c r="P20" i="11"/>
  <c r="O20" i="11"/>
  <c r="P21" i="11"/>
  <c r="O21" i="11"/>
  <c r="P22" i="11"/>
  <c r="O22" i="11"/>
  <c r="P23" i="11"/>
  <c r="O23" i="11"/>
  <c r="P24" i="11"/>
  <c r="O24" i="11"/>
  <c r="P11" i="11"/>
  <c r="O11" i="11"/>
  <c r="P12" i="11"/>
  <c r="O12" i="11"/>
  <c r="P10" i="11"/>
  <c r="O10" i="11"/>
  <c r="P9" i="11"/>
  <c r="O9" i="11"/>
  <c r="P8" i="11"/>
  <c r="O8" i="11"/>
  <c r="O6" i="11"/>
  <c r="P6" i="11"/>
  <c r="P7" i="11"/>
  <c r="O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tc={0E27654A-DECF-4E8E-8576-CF127C301E13}</author>
  </authors>
  <commentList>
    <comment ref="B43" authorId="0" shapeId="0" xr:uid="{0E27654A-DECF-4E8E-8576-CF127C301E13}">
      <text>
        <t>[Threaded comment]
Your version of Excel allows you to read this threaded comment; however, any edits to it will get removed if the file is opened in a newer version of Excel. Learn more: https://go.microsoft.com/fwlink/?linkid=870924
Comment:
    One of the global optima found by PoreXpert, only 0.00111 away from  being within the STDEV, hence selected as better fit and much more congruent open porosity.</t>
      </text>
    </comment>
  </commentList>
</comments>
</file>

<file path=xl/sharedStrings.xml><?xml version="1.0" encoding="utf-8"?>
<sst xmlns="http://schemas.openxmlformats.org/spreadsheetml/2006/main" count="410" uniqueCount="33">
  <si>
    <t>IG110 Sample B</t>
  </si>
  <si>
    <t>Vertically banded</t>
  </si>
  <si>
    <t>Stochastic realisation number</t>
  </si>
  <si>
    <t>Summary</t>
  </si>
  <si>
    <t>Parameter</t>
  </si>
  <si>
    <t>Average</t>
  </si>
  <si>
    <t>StDev</t>
  </si>
  <si>
    <t>Lower limit</t>
  </si>
  <si>
    <t>Upper limit</t>
  </si>
  <si>
    <t>Graphite</t>
  </si>
  <si>
    <t>Pore skew</t>
  </si>
  <si>
    <t>Stoch gen no</t>
  </si>
  <si>
    <t>Throat skew</t>
  </si>
  <si>
    <t>Throat spread</t>
  </si>
  <si>
    <t>Connectivity</t>
  </si>
  <si>
    <t>Correlation level</t>
  </si>
  <si>
    <t>Open Porosity (%)</t>
  </si>
  <si>
    <t>Distance (%)</t>
  </si>
  <si>
    <t>Sim vs Exp</t>
  </si>
  <si>
    <t xml:space="preserve">Permiability </t>
  </si>
  <si>
    <t>IG110 Sample C</t>
  </si>
  <si>
    <t>IG110 Sample F</t>
  </si>
  <si>
    <t>IG430 Sample B</t>
  </si>
  <si>
    <t>IG430 Sample C</t>
  </si>
  <si>
    <t>IG430 Sample F</t>
  </si>
  <si>
    <t>Horizontal: Large to Small</t>
  </si>
  <si>
    <t xml:space="preserve">Average % Distance between Open Porosity Simulated and </t>
  </si>
  <si>
    <t>Minus Anomaly</t>
  </si>
  <si>
    <t>Improvement on Incorrect Data =</t>
  </si>
  <si>
    <t>Whoops, ran with 2.64% OP not 2.63%, may need redo</t>
  </si>
  <si>
    <t>If individual value is within 1 std of average, great, mark light green. If, for example, line 5 is all green, choose those values.</t>
  </si>
  <si>
    <t>If more than one column is green, choose the one with the lowest distance (i.e. best fit). Then use this as the chosen value of permiability!</t>
  </si>
  <si>
    <t>Minus Highest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</si>
</sst>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  <family val="2"/>
    </font>
    <font>
      <u/>
      <sz val="12"/>
      <color theme="10"/>
      <name val="Arial"/>
      <family val="2"/>
    </font>
    <font>
      <u/>
      <sz val="12"/>
      <color theme="1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0" tint="-0.249977111117893"/>
      <name val="Calibri"/>
      <family val="2"/>
    </font>
    <font>
      <sz val="11"/>
      <color rgb="FF006100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  <scheme val="minor"/>
    </font>
    <font>
      <sz val="10"/>
      <color rgb="FFFF0000"/>
      <name val="Calibri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6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2" borderId="0" applyNumberFormat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0" xfId="0" applyFont="1"/>
    <xf numFmtId="0" fontId="7" fillId="2" borderId="0" xfId="361"/>
    <xf numFmtId="0" fontId="4" fillId="0" borderId="0" xfId="0" applyFont="1" applyAlignment="1">
      <alignment horizontal="center"/>
    </xf>
    <xf numFmtId="0" fontId="7" fillId="0" borderId="0" xfId="361" applyFill="1" applyBorder="1"/>
    <xf numFmtId="0" fontId="5" fillId="0" borderId="0" xfId="0" applyFont="1"/>
    <xf numFmtId="0" fontId="7" fillId="0" borderId="0" xfId="361" applyFill="1" applyBorder="1" applyAlignment="1"/>
    <xf numFmtId="0" fontId="8" fillId="0" borderId="0" xfId="0" applyFont="1"/>
    <xf numFmtId="0" fontId="9" fillId="0" borderId="0" xfId="361" applyFont="1" applyFill="1" applyBorder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5" borderId="0" xfId="0" applyFont="1" applyFill="1"/>
    <xf numFmtId="0" fontId="4" fillId="6" borderId="0" xfId="0" applyFont="1" applyFill="1" applyAlignment="1">
      <alignment horizontal="center"/>
    </xf>
    <xf numFmtId="0" fontId="10" fillId="0" borderId="0" xfId="0" applyFont="1"/>
    <xf numFmtId="0" fontId="11" fillId="4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2" fillId="6" borderId="0" xfId="0" applyFont="1" applyFill="1" applyAlignment="1">
      <alignment horizontal="center"/>
    </xf>
    <xf numFmtId="2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</cellXfs>
  <cellStyles count="362">
    <cellStyle name="Followed Hyperlink" xfId="82" builtinId="9" hidden="1"/>
    <cellStyle name="Followed Hyperlink" xfId="16" builtinId="9" hidden="1"/>
    <cellStyle name="Followed Hyperlink" xfId="198" builtinId="9" hidden="1"/>
    <cellStyle name="Followed Hyperlink" xfId="118" builtinId="9" hidden="1"/>
    <cellStyle name="Followed Hyperlink" xfId="338" builtinId="9" hidden="1"/>
    <cellStyle name="Followed Hyperlink" xfId="34" builtinId="9" hidden="1"/>
    <cellStyle name="Followed Hyperlink" xfId="238" builtinId="9" hidden="1"/>
    <cellStyle name="Followed Hyperlink" xfId="10" builtinId="9" hidden="1"/>
    <cellStyle name="Followed Hyperlink" xfId="4" builtinId="9" hidden="1"/>
    <cellStyle name="Followed Hyperlink" xfId="38" builtinId="9" hidden="1"/>
    <cellStyle name="Followed Hyperlink" xfId="98" builtinId="9" hidden="1"/>
    <cellStyle name="Followed Hyperlink" xfId="352" builtinId="9" hidden="1"/>
    <cellStyle name="Followed Hyperlink" xfId="2" builtinId="9" hidden="1"/>
    <cellStyle name="Followed Hyperlink" xfId="274" builtinId="9" hidden="1"/>
    <cellStyle name="Followed Hyperlink" xfId="58" builtinId="9" hidden="1"/>
    <cellStyle name="Followed Hyperlink" xfId="90" builtinId="9" hidden="1"/>
    <cellStyle name="Followed Hyperlink" xfId="282" builtinId="9" hidden="1"/>
    <cellStyle name="Followed Hyperlink" xfId="52" builtinId="9" hidden="1"/>
    <cellStyle name="Followed Hyperlink" xfId="56" builtinId="9" hidden="1"/>
    <cellStyle name="Followed Hyperlink" xfId="80" builtinId="9" hidden="1"/>
    <cellStyle name="Followed Hyperlink" xfId="24" builtinId="9" hidden="1"/>
    <cellStyle name="Followed Hyperlink" xfId="222" builtinId="9" hidden="1"/>
    <cellStyle name="Followed Hyperlink" xfId="250" builtinId="9" hidden="1"/>
    <cellStyle name="Followed Hyperlink" xfId="264" builtinId="9" hidden="1"/>
    <cellStyle name="Followed Hyperlink" xfId="234" builtinId="9" hidden="1"/>
    <cellStyle name="Followed Hyperlink" xfId="318" builtinId="9" hidden="1"/>
    <cellStyle name="Followed Hyperlink" xfId="78" builtinId="9" hidden="1"/>
    <cellStyle name="Followed Hyperlink" xfId="330" builtinId="9" hidden="1"/>
    <cellStyle name="Followed Hyperlink" xfId="310" builtinId="9" hidden="1"/>
    <cellStyle name="Followed Hyperlink" xfId="152" builtinId="9" hidden="1"/>
    <cellStyle name="Followed Hyperlink" xfId="102" builtinId="9" hidden="1"/>
    <cellStyle name="Followed Hyperlink" xfId="154" builtinId="9" hidden="1"/>
    <cellStyle name="Followed Hyperlink" xfId="258" builtinId="9" hidden="1"/>
    <cellStyle name="Followed Hyperlink" xfId="228" builtinId="9" hidden="1"/>
    <cellStyle name="Followed Hyperlink" xfId="266" builtinId="9" hidden="1"/>
    <cellStyle name="Followed Hyperlink" xfId="96" builtinId="9" hidden="1"/>
    <cellStyle name="Followed Hyperlink" xfId="240" builtinId="9" hidden="1"/>
    <cellStyle name="Followed Hyperlink" xfId="262" builtinId="9" hidden="1"/>
    <cellStyle name="Followed Hyperlink" xfId="76" builtinId="9" hidden="1"/>
    <cellStyle name="Followed Hyperlink" xfId="300" builtinId="9" hidden="1"/>
    <cellStyle name="Followed Hyperlink" xfId="248" builtinId="9" hidden="1"/>
    <cellStyle name="Followed Hyperlink" xfId="30" builtinId="9" hidden="1"/>
    <cellStyle name="Followed Hyperlink" xfId="236" builtinId="9" hidden="1"/>
    <cellStyle name="Followed Hyperlink" xfId="132" builtinId="9" hidden="1"/>
    <cellStyle name="Followed Hyperlink" xfId="114" builtinId="9" hidden="1"/>
    <cellStyle name="Followed Hyperlink" xfId="182" builtinId="9" hidden="1"/>
    <cellStyle name="Followed Hyperlink" xfId="308" builtinId="9" hidden="1"/>
    <cellStyle name="Followed Hyperlink" xfId="84" builtinId="9" hidden="1"/>
    <cellStyle name="Followed Hyperlink" xfId="340" builtinId="9" hidden="1"/>
    <cellStyle name="Followed Hyperlink" xfId="72" builtinId="9" hidden="1"/>
    <cellStyle name="Followed Hyperlink" xfId="304" builtinId="9" hidden="1"/>
    <cellStyle name="Followed Hyperlink" xfId="140" builtinId="9" hidden="1"/>
    <cellStyle name="Followed Hyperlink" xfId="276" builtinId="9" hidden="1"/>
    <cellStyle name="Followed Hyperlink" xfId="260" builtinId="9" hidden="1"/>
    <cellStyle name="Followed Hyperlink" xfId="104" builtinId="9" hidden="1"/>
    <cellStyle name="Followed Hyperlink" xfId="14" builtinId="9" hidden="1"/>
    <cellStyle name="Followed Hyperlink" xfId="12" builtinId="9" hidden="1"/>
    <cellStyle name="Followed Hyperlink" xfId="68" builtinId="9" hidden="1"/>
    <cellStyle name="Followed Hyperlink" xfId="148" builtinId="9" hidden="1"/>
    <cellStyle name="Followed Hyperlink" xfId="110" builtinId="9" hidden="1"/>
    <cellStyle name="Followed Hyperlink" xfId="128" builtinId="9" hidden="1"/>
    <cellStyle name="Followed Hyperlink" xfId="180" builtinId="9" hidden="1"/>
    <cellStyle name="Followed Hyperlink" xfId="18" builtinId="9" hidden="1"/>
    <cellStyle name="Followed Hyperlink" xfId="244" builtinId="9" hidden="1"/>
    <cellStyle name="Followed Hyperlink" xfId="242" builtinId="9" hidden="1"/>
    <cellStyle name="Followed Hyperlink" xfId="94" builtinId="9" hidden="1"/>
    <cellStyle name="Followed Hyperlink" xfId="184" builtinId="9" hidden="1"/>
    <cellStyle name="Followed Hyperlink" xfId="168" builtinId="9" hidden="1"/>
    <cellStyle name="Followed Hyperlink" xfId="108" builtinId="9" hidden="1"/>
    <cellStyle name="Followed Hyperlink" xfId="176" builtinId="9" hidden="1"/>
    <cellStyle name="Followed Hyperlink" xfId="150" builtinId="9" hidden="1"/>
    <cellStyle name="Followed Hyperlink" xfId="224" builtinId="9" hidden="1"/>
    <cellStyle name="Followed Hyperlink" xfId="194" builtinId="9" hidden="1"/>
    <cellStyle name="Followed Hyperlink" xfId="112" builtinId="9" hidden="1"/>
    <cellStyle name="Followed Hyperlink" xfId="156" builtinId="9" hidden="1"/>
    <cellStyle name="Followed Hyperlink" xfId="214" builtinId="9" hidden="1"/>
    <cellStyle name="Followed Hyperlink" xfId="136" builtinId="9" hidden="1"/>
    <cellStyle name="Followed Hyperlink" xfId="158" builtinId="9" hidden="1"/>
    <cellStyle name="Followed Hyperlink" xfId="48" builtinId="9" hidden="1"/>
    <cellStyle name="Followed Hyperlink" xfId="130" builtinId="9" hidden="1"/>
    <cellStyle name="Followed Hyperlink" xfId="70" builtinId="9" hidden="1"/>
    <cellStyle name="Followed Hyperlink" xfId="190" builtinId="9" hidden="1"/>
    <cellStyle name="Followed Hyperlink" xfId="314" builtinId="9" hidden="1"/>
    <cellStyle name="Followed Hyperlink" xfId="50" builtinId="9" hidden="1"/>
    <cellStyle name="Followed Hyperlink" xfId="74" builtinId="9" hidden="1"/>
    <cellStyle name="Followed Hyperlink" xfId="220" builtinId="9" hidden="1"/>
    <cellStyle name="Followed Hyperlink" xfId="356" builtinId="9" hidden="1"/>
    <cellStyle name="Followed Hyperlink" xfId="62" builtinId="9" hidden="1"/>
    <cellStyle name="Followed Hyperlink" xfId="64" builtinId="9" hidden="1"/>
    <cellStyle name="Followed Hyperlink" xfId="40" builtinId="9" hidden="1"/>
    <cellStyle name="Followed Hyperlink" xfId="66" builtinId="9" hidden="1"/>
    <cellStyle name="Followed Hyperlink" xfId="354" builtinId="9" hidden="1"/>
    <cellStyle name="Followed Hyperlink" xfId="286" builtinId="9" hidden="1"/>
    <cellStyle name="Followed Hyperlink" xfId="268" builtinId="9" hidden="1"/>
    <cellStyle name="Followed Hyperlink" xfId="28" builtinId="9" hidden="1"/>
    <cellStyle name="Followed Hyperlink" xfId="350" builtinId="9" hidden="1"/>
    <cellStyle name="Followed Hyperlink" xfId="312" builtinId="9" hidden="1"/>
    <cellStyle name="Followed Hyperlink" xfId="142" builtinId="9" hidden="1"/>
    <cellStyle name="Followed Hyperlink" xfId="326" builtinId="9" hidden="1"/>
    <cellStyle name="Followed Hyperlink" xfId="202" builtinId="9" hidden="1"/>
    <cellStyle name="Followed Hyperlink" xfId="334" builtinId="9" hidden="1"/>
    <cellStyle name="Followed Hyperlink" xfId="126" builtinId="9" hidden="1"/>
    <cellStyle name="Followed Hyperlink" xfId="54" builtinId="9" hidden="1"/>
    <cellStyle name="Followed Hyperlink" xfId="256" builtinId="9" hidden="1"/>
    <cellStyle name="Followed Hyperlink" xfId="116" builtinId="9" hidden="1"/>
    <cellStyle name="Followed Hyperlink" xfId="178" builtinId="9" hidden="1"/>
    <cellStyle name="Followed Hyperlink" xfId="246" builtinId="9" hidden="1"/>
    <cellStyle name="Followed Hyperlink" xfId="134" builtinId="9" hidden="1"/>
    <cellStyle name="Followed Hyperlink" xfId="226" builtinId="9" hidden="1"/>
    <cellStyle name="Followed Hyperlink" xfId="216" builtinId="9" hidden="1"/>
    <cellStyle name="Followed Hyperlink" xfId="206" builtinId="9" hidden="1"/>
    <cellStyle name="Followed Hyperlink" xfId="26" builtinId="9" hidden="1"/>
    <cellStyle name="Followed Hyperlink" xfId="332" builtinId="9" hidden="1"/>
    <cellStyle name="Followed Hyperlink" xfId="162" builtinId="9" hidden="1"/>
    <cellStyle name="Followed Hyperlink" xfId="166" builtinId="9" hidden="1"/>
    <cellStyle name="Followed Hyperlink" xfId="124" builtinId="9" hidden="1"/>
    <cellStyle name="Followed Hyperlink" xfId="302" builtinId="9" hidden="1"/>
    <cellStyle name="Followed Hyperlink" xfId="186" builtinId="9" hidden="1"/>
    <cellStyle name="Followed Hyperlink" xfId="296" builtinId="9" hidden="1"/>
    <cellStyle name="Followed Hyperlink" xfId="328" builtinId="9" hidden="1"/>
    <cellStyle name="Followed Hyperlink" xfId="146" builtinId="9" hidden="1"/>
    <cellStyle name="Followed Hyperlink" xfId="292" builtinId="9" hidden="1"/>
    <cellStyle name="Followed Hyperlink" xfId="172" builtinId="9" hidden="1"/>
    <cellStyle name="Followed Hyperlink" xfId="294" builtinId="9" hidden="1"/>
    <cellStyle name="Followed Hyperlink" xfId="316" builtinId="9" hidden="1"/>
    <cellStyle name="Followed Hyperlink" xfId="36" builtinId="9" hidden="1"/>
    <cellStyle name="Followed Hyperlink" xfId="46" builtinId="9" hidden="1"/>
    <cellStyle name="Followed Hyperlink" xfId="232" builtinId="9" hidden="1"/>
    <cellStyle name="Followed Hyperlink" xfId="254" builtinId="9" hidden="1"/>
    <cellStyle name="Followed Hyperlink" xfId="22" builtinId="9" hidden="1"/>
    <cellStyle name="Followed Hyperlink" xfId="60" builtinId="9" hidden="1"/>
    <cellStyle name="Followed Hyperlink" xfId="208" builtinId="9" hidden="1"/>
    <cellStyle name="Followed Hyperlink" xfId="348" builtinId="9" hidden="1"/>
    <cellStyle name="Followed Hyperlink" xfId="32" builtinId="9" hidden="1"/>
    <cellStyle name="Followed Hyperlink" xfId="42" builtinId="9" hidden="1"/>
    <cellStyle name="Followed Hyperlink" xfId="344" builtinId="9" hidden="1"/>
    <cellStyle name="Followed Hyperlink" xfId="20" builtinId="9" hidden="1"/>
    <cellStyle name="Followed Hyperlink" xfId="106" builtinId="9" hidden="1"/>
    <cellStyle name="Followed Hyperlink" xfId="120" builtinId="9" hidden="1"/>
    <cellStyle name="Followed Hyperlink" xfId="138" builtinId="9" hidden="1"/>
    <cellStyle name="Followed Hyperlink" xfId="122" builtinId="9" hidden="1"/>
    <cellStyle name="Followed Hyperlink" xfId="272" builtinId="9" hidden="1"/>
    <cellStyle name="Followed Hyperlink" xfId="86" builtinId="9" hidden="1"/>
    <cellStyle name="Followed Hyperlink" xfId="92" builtinId="9" hidden="1"/>
    <cellStyle name="Followed Hyperlink" xfId="6" builtinId="9" hidden="1"/>
    <cellStyle name="Followed Hyperlink" xfId="88" builtinId="9" hidden="1"/>
    <cellStyle name="Followed Hyperlink" xfId="196" builtinId="9" hidden="1"/>
    <cellStyle name="Followed Hyperlink" xfId="200" builtinId="9" hidden="1"/>
    <cellStyle name="Followed Hyperlink" xfId="144" builtinId="9" hidden="1"/>
    <cellStyle name="Followed Hyperlink" xfId="360" builtinId="9" hidden="1"/>
    <cellStyle name="Followed Hyperlink" xfId="192" builtinId="9" hidden="1"/>
    <cellStyle name="Followed Hyperlink" xfId="284" builtinId="9" hidden="1"/>
    <cellStyle name="Followed Hyperlink" xfId="188" builtinId="9" hidden="1"/>
    <cellStyle name="Followed Hyperlink" xfId="320" builtinId="9" hidden="1"/>
    <cellStyle name="Followed Hyperlink" xfId="8" builtinId="9" hidden="1"/>
    <cellStyle name="Followed Hyperlink" xfId="298" builtinId="9" hidden="1"/>
    <cellStyle name="Followed Hyperlink" xfId="218" builtinId="9" hidden="1"/>
    <cellStyle name="Followed Hyperlink" xfId="100" builtinId="9" hidden="1"/>
    <cellStyle name="Followed Hyperlink" xfId="212" builtinId="9" hidden="1"/>
    <cellStyle name="Followed Hyperlink" xfId="170" builtinId="9" hidden="1"/>
    <cellStyle name="Followed Hyperlink" xfId="164" builtinId="9" hidden="1"/>
    <cellStyle name="Followed Hyperlink" xfId="174" builtinId="9" hidden="1"/>
    <cellStyle name="Followed Hyperlink" xfId="44" builtinId="9" hidden="1"/>
    <cellStyle name="Followed Hyperlink" xfId="252" builtinId="9" hidden="1"/>
    <cellStyle name="Followed Hyperlink" xfId="278" builtinId="9" hidden="1"/>
    <cellStyle name="Followed Hyperlink" xfId="290" builtinId="9" hidden="1"/>
    <cellStyle name="Followed Hyperlink" xfId="204" builtinId="9" hidden="1"/>
    <cellStyle name="Followed Hyperlink" xfId="322" builtinId="9" hidden="1"/>
    <cellStyle name="Followed Hyperlink" xfId="324" builtinId="9" hidden="1"/>
    <cellStyle name="Followed Hyperlink" xfId="280" builtinId="9" hidden="1"/>
    <cellStyle name="Followed Hyperlink" xfId="160" builtinId="9" hidden="1"/>
    <cellStyle name="Followed Hyperlink" xfId="306" builtinId="9" hidden="1"/>
    <cellStyle name="Followed Hyperlink" xfId="342" builtinId="9" hidden="1"/>
    <cellStyle name="Followed Hyperlink" xfId="358" builtinId="9" hidden="1"/>
    <cellStyle name="Followed Hyperlink" xfId="336" builtinId="9" hidden="1"/>
    <cellStyle name="Followed Hyperlink" xfId="210" builtinId="9" hidden="1"/>
    <cellStyle name="Followed Hyperlink" xfId="230" builtinId="9" hidden="1"/>
    <cellStyle name="Followed Hyperlink" xfId="270" builtinId="9" hidden="1"/>
    <cellStyle name="Followed Hyperlink" xfId="346" builtinId="9" hidden="1"/>
    <cellStyle name="Followed Hyperlink" xfId="288" builtinId="9" hidden="1"/>
    <cellStyle name="Good" xfId="361" builtinId="26"/>
    <cellStyle name="Hyperlink" xfId="277" builtinId="8" hidden="1"/>
    <cellStyle name="Hyperlink" xfId="285" builtinId="8" hidden="1"/>
    <cellStyle name="Hyperlink" xfId="357" builtinId="8" hidden="1"/>
    <cellStyle name="Hyperlink" xfId="347" builtinId="8" hidden="1"/>
    <cellStyle name="Hyperlink" xfId="111" builtinId="8" hidden="1"/>
    <cellStyle name="Hyperlink" xfId="351" builtinId="8" hidden="1"/>
    <cellStyle name="Hyperlink" xfId="353" builtinId="8" hidden="1"/>
    <cellStyle name="Hyperlink" xfId="335" builtinId="8" hidden="1"/>
    <cellStyle name="Hyperlink" xfId="117" builtinId="8" hidden="1"/>
    <cellStyle name="Hyperlink" xfId="187" builtinId="8" hidden="1"/>
    <cellStyle name="Hyperlink" xfId="195" builtinId="8" hidden="1"/>
    <cellStyle name="Hyperlink" xfId="51" builtinId="8" hidden="1"/>
    <cellStyle name="Hyperlink" xfId="15" builtinId="8" hidden="1"/>
    <cellStyle name="Hyperlink" xfId="337" builtinId="8" hidden="1"/>
    <cellStyle name="Hyperlink" xfId="217" builtinId="8" hidden="1"/>
    <cellStyle name="Hyperlink" xfId="263" builtinId="8" hidden="1"/>
    <cellStyle name="Hyperlink" xfId="25" builtinId="8" hidden="1"/>
    <cellStyle name="Hyperlink" xfId="349" builtinId="8" hidden="1"/>
    <cellStyle name="Hyperlink" xfId="315" builtinId="8" hidden="1"/>
    <cellStyle name="Hyperlink" xfId="341" builtinId="8" hidden="1"/>
    <cellStyle name="Hyperlink" xfId="81" builtinId="8" hidden="1"/>
    <cellStyle name="Hyperlink" xfId="75" builtinId="8" hidden="1"/>
    <cellStyle name="Hyperlink" xfId="239" builtinId="8" hidden="1"/>
    <cellStyle name="Hyperlink" xfId="97" builtinId="8" hidden="1"/>
    <cellStyle name="Hyperlink" xfId="33" builtinId="8" hidden="1"/>
    <cellStyle name="Hyperlink" xfId="69" builtinId="8" hidden="1"/>
    <cellStyle name="Hyperlink" xfId="291" builtinId="8" hidden="1"/>
    <cellStyle name="Hyperlink" xfId="279" builtinId="8" hidden="1"/>
    <cellStyle name="Hyperlink" xfId="215" builtinId="8" hidden="1"/>
    <cellStyle name="Hyperlink" xfId="281" builtinId="8" hidden="1"/>
    <cellStyle name="Hyperlink" xfId="331" builtinId="8" hidden="1"/>
    <cellStyle name="Hyperlink" xfId="305" builtinId="8" hidden="1"/>
    <cellStyle name="Hyperlink" xfId="323" builtinId="8" hidden="1"/>
    <cellStyle name="Hyperlink" xfId="339" builtinId="8" hidden="1"/>
    <cellStyle name="Hyperlink" xfId="325" builtinId="8" hidden="1"/>
    <cellStyle name="Hyperlink" xfId="177" builtinId="8" hidden="1"/>
    <cellStyle name="Hyperlink" xfId="49" builtinId="8" hidden="1"/>
    <cellStyle name="Hyperlink" xfId="199" builtinId="8" hidden="1"/>
    <cellStyle name="Hyperlink" xfId="191" builtinId="8" hidden="1"/>
    <cellStyle name="Hyperlink" xfId="219" builtinId="8" hidden="1"/>
    <cellStyle name="Hyperlink" xfId="125" builtinId="8" hidden="1"/>
    <cellStyle name="Hyperlink" xfId="173" builtinId="8" hidden="1"/>
    <cellStyle name="Hyperlink" xfId="221" builtinId="8" hidden="1"/>
    <cellStyle name="Hyperlink" xfId="73" builtinId="8" hidden="1"/>
    <cellStyle name="Hyperlink" xfId="123" builtinId="8" hidden="1"/>
    <cellStyle name="Hyperlink" xfId="355" builtinId="8" hidden="1"/>
    <cellStyle name="Hyperlink" xfId="161" builtinId="8" hidden="1"/>
    <cellStyle name="Hyperlink" xfId="169" builtinId="8" hidden="1"/>
    <cellStyle name="Hyperlink" xfId="91" builtinId="8" hidden="1"/>
    <cellStyle name="Hyperlink" xfId="137" builtinId="8" hidden="1"/>
    <cellStyle name="Hyperlink" xfId="231" builtinId="8" hidden="1"/>
    <cellStyle name="Hyperlink" xfId="43" builtinId="8" hidden="1"/>
    <cellStyle name="Hyperlink" xfId="255" builtinId="8" hidden="1"/>
    <cellStyle name="Hyperlink" xfId="45" builtinId="8" hidden="1"/>
    <cellStyle name="Hyperlink" xfId="29" builtinId="8" hidden="1"/>
    <cellStyle name="Hyperlink" xfId="235" builtinId="8" hidden="1"/>
    <cellStyle name="Hyperlink" xfId="93" builtinId="8" hidden="1"/>
    <cellStyle name="Hyperlink" xfId="39" builtinId="8" hidden="1"/>
    <cellStyle name="Hyperlink" xfId="295" builtinId="8" hidden="1"/>
    <cellStyle name="Hyperlink" xfId="149" builtinId="8" hidden="1"/>
    <cellStyle name="Hyperlink" xfId="273" builtinId="8" hidden="1"/>
    <cellStyle name="Hyperlink" xfId="1" builtinId="8" hidden="1"/>
    <cellStyle name="Hyperlink" xfId="61" builtinId="8" hidden="1"/>
    <cellStyle name="Hyperlink" xfId="77" builtinId="8" hidden="1"/>
    <cellStyle name="Hyperlink" xfId="119" builtinId="8" hidden="1"/>
    <cellStyle name="Hyperlink" xfId="59" builtinId="8" hidden="1"/>
    <cellStyle name="Hyperlink" xfId="251" builtinId="8" hidden="1"/>
    <cellStyle name="Hyperlink" xfId="321" builtinId="8" hidden="1"/>
    <cellStyle name="Hyperlink" xfId="27" builtinId="8" hidden="1"/>
    <cellStyle name="Hyperlink" xfId="193" builtinId="8" hidden="1"/>
    <cellStyle name="Hyperlink" xfId="287" builtinId="8" hidden="1"/>
    <cellStyle name="Hyperlink" xfId="185" builtinId="8" hidden="1"/>
    <cellStyle name="Hyperlink" xfId="307" builtinId="8" hidden="1"/>
    <cellStyle name="Hyperlink" xfId="131" builtinId="8" hidden="1"/>
    <cellStyle name="Hyperlink" xfId="141" builtinId="8" hidden="1"/>
    <cellStyle name="Hyperlink" xfId="5" builtinId="8" hidden="1"/>
    <cellStyle name="Hyperlink" xfId="85" builtinId="8" hidden="1"/>
    <cellStyle name="Hyperlink" xfId="7" builtinId="8" hidden="1"/>
    <cellStyle name="Hyperlink" xfId="293" builtinId="8" hidden="1"/>
    <cellStyle name="Hyperlink" xfId="11" builtinId="8" hidden="1"/>
    <cellStyle name="Hyperlink" xfId="249" builtinId="8" hidden="1"/>
    <cellStyle name="Hyperlink" xfId="13" builtinId="8" hidden="1"/>
    <cellStyle name="Hyperlink" xfId="17" builtinId="8" hidden="1"/>
    <cellStyle name="Hyperlink" xfId="301" builtinId="8" hidden="1"/>
    <cellStyle name="Hyperlink" xfId="283" builtinId="8" hidden="1"/>
    <cellStyle name="Hyperlink" xfId="257" builtinId="8" hidden="1"/>
    <cellStyle name="Hyperlink" xfId="225" builtinId="8" hidden="1"/>
    <cellStyle name="Hyperlink" xfId="213" builtinId="8" hidden="1"/>
    <cellStyle name="Hyperlink" xfId="129" builtinId="8" hidden="1"/>
    <cellStyle name="Hyperlink" xfId="165" builtinId="8" hidden="1"/>
    <cellStyle name="Hyperlink" xfId="19" builtinId="8" hidden="1"/>
    <cellStyle name="Hyperlink" xfId="63" builtinId="8" hidden="1"/>
    <cellStyle name="Hyperlink" xfId="261" builtinId="8" hidden="1"/>
    <cellStyle name="Hyperlink" xfId="115" builtinId="8" hidden="1"/>
    <cellStyle name="Hyperlink" xfId="179" builtinId="8" hidden="1"/>
    <cellStyle name="Hyperlink" xfId="9" builtinId="8" hidden="1"/>
    <cellStyle name="Hyperlink" xfId="95" builtinId="8" hidden="1"/>
    <cellStyle name="Hyperlink" xfId="47" builtinId="8" hidden="1"/>
    <cellStyle name="Hyperlink" xfId="23" builtinId="8" hidden="1"/>
    <cellStyle name="Hyperlink" xfId="253" builtinId="8" hidden="1"/>
    <cellStyle name="Hyperlink" xfId="201" builtinId="8" hidden="1"/>
    <cellStyle name="Hyperlink" xfId="245" builtinId="8" hidden="1"/>
    <cellStyle name="Hyperlink" xfId="87" builtinId="8" hidden="1"/>
    <cellStyle name="Hyperlink" xfId="275" builtinId="8" hidden="1"/>
    <cellStyle name="Hyperlink" xfId="103" builtinId="8" hidden="1"/>
    <cellStyle name="Hyperlink" xfId="189" builtinId="8" hidden="1"/>
    <cellStyle name="Hyperlink" xfId="237" builtinId="8" hidden="1"/>
    <cellStyle name="Hyperlink" xfId="121" builtinId="8" hidden="1"/>
    <cellStyle name="Hyperlink" xfId="175" builtinId="8" hidden="1"/>
    <cellStyle name="Hyperlink" xfId="133" builtinId="8" hidden="1"/>
    <cellStyle name="Hyperlink" xfId="145" builtinId="8" hidden="1"/>
    <cellStyle name="Hyperlink" xfId="135" builtinId="8" hidden="1"/>
    <cellStyle name="Hyperlink" xfId="207" builtinId="8" hidden="1"/>
    <cellStyle name="Hyperlink" xfId="41" builtinId="8" hidden="1"/>
    <cellStyle name="Hyperlink" xfId="35" builtinId="8" hidden="1"/>
    <cellStyle name="Hyperlink" xfId="55" builtinId="8" hidden="1"/>
    <cellStyle name="Hyperlink" xfId="271" builtinId="8" hidden="1"/>
    <cellStyle name="Hyperlink" xfId="21" builtinId="8" hidden="1"/>
    <cellStyle name="Hyperlink" xfId="57" builtinId="8" hidden="1"/>
    <cellStyle name="Hyperlink" xfId="297" builtinId="8" hidden="1"/>
    <cellStyle name="Hyperlink" xfId="157" builtinId="8" hidden="1"/>
    <cellStyle name="Hyperlink" xfId="211" builtinId="8" hidden="1"/>
    <cellStyle name="Hyperlink" xfId="209" builtinId="8" hidden="1"/>
    <cellStyle name="Hyperlink" xfId="241" builtinId="8" hidden="1"/>
    <cellStyle name="Hyperlink" xfId="289" builtinId="8" hidden="1"/>
    <cellStyle name="Hyperlink" xfId="65" builtinId="8" hidden="1"/>
    <cellStyle name="Hyperlink" xfId="311" builtinId="8" hidden="1"/>
    <cellStyle name="Hyperlink" xfId="313" builtinId="8" hidden="1"/>
    <cellStyle name="Hyperlink" xfId="299" builtinId="8" hidden="1"/>
    <cellStyle name="Hyperlink" xfId="67" builtinId="8" hidden="1"/>
    <cellStyle name="Hyperlink" xfId="243" builtinId="8" hidden="1"/>
    <cellStyle name="Hyperlink" xfId="309" builtinId="8" hidden="1"/>
    <cellStyle name="Hyperlink" xfId="113" builtinId="8" hidden="1"/>
    <cellStyle name="Hyperlink" xfId="3" builtinId="8" hidden="1"/>
    <cellStyle name="Hyperlink" xfId="359" builtinId="8" hidden="1"/>
    <cellStyle name="Hyperlink" xfId="329" builtinId="8" hidden="1"/>
    <cellStyle name="Hyperlink" xfId="229" builtinId="8" hidden="1"/>
    <cellStyle name="Hyperlink" xfId="267" builtinId="8" hidden="1"/>
    <cellStyle name="Hyperlink" xfId="327" builtinId="8" hidden="1"/>
    <cellStyle name="Hyperlink" xfId="79" builtinId="8" hidden="1"/>
    <cellStyle name="Hyperlink" xfId="171" builtinId="8" hidden="1"/>
    <cellStyle name="Hyperlink" xfId="203" builtinId="8" hidden="1"/>
    <cellStyle name="Hyperlink" xfId="107" builtinId="8" hidden="1"/>
    <cellStyle name="Hyperlink" xfId="205" builtinId="8" hidden="1"/>
    <cellStyle name="Hyperlink" xfId="345" builtinId="8" hidden="1"/>
    <cellStyle name="Hyperlink" xfId="183" builtinId="8" hidden="1"/>
    <cellStyle name="Hyperlink" xfId="83" builtinId="8" hidden="1"/>
    <cellStyle name="Hyperlink" xfId="269" builtinId="8" hidden="1"/>
    <cellStyle name="Hyperlink" xfId="317" builtinId="8" hidden="1"/>
    <cellStyle name="Hyperlink" xfId="197" builtinId="8" hidden="1"/>
    <cellStyle name="Hyperlink" xfId="89" builtinId="8" hidden="1"/>
    <cellStyle name="Hyperlink" xfId="343" builtinId="8" hidden="1"/>
    <cellStyle name="Hyperlink" xfId="153" builtinId="8" hidden="1"/>
    <cellStyle name="Hyperlink" xfId="127" builtinId="8" hidden="1"/>
    <cellStyle name="Hyperlink" xfId="147" builtinId="8" hidden="1"/>
    <cellStyle name="Hyperlink" xfId="227" builtinId="8" hidden="1"/>
    <cellStyle name="Hyperlink" xfId="71" builtinId="8" hidden="1"/>
    <cellStyle name="Hyperlink" xfId="247" builtinId="8" hidden="1"/>
    <cellStyle name="Hyperlink" xfId="303" builtinId="8" hidden="1"/>
    <cellStyle name="Hyperlink" xfId="223" builtinId="8" hidden="1"/>
    <cellStyle name="Hyperlink" xfId="109" builtinId="8" hidden="1"/>
    <cellStyle name="Hyperlink" xfId="101" builtinId="8" hidden="1"/>
    <cellStyle name="Hyperlink" xfId="53" builtinId="8" hidden="1"/>
    <cellStyle name="Hyperlink" xfId="181" builtinId="8" hidden="1"/>
    <cellStyle name="Hyperlink" xfId="139" builtinId="8" hidden="1"/>
    <cellStyle name="Hyperlink" xfId="233" builtinId="8" hidden="1"/>
    <cellStyle name="Hyperlink" xfId="143" builtinId="8" hidden="1"/>
    <cellStyle name="Hyperlink" xfId="265" builtinId="8" hidden="1"/>
    <cellStyle name="Hyperlink" xfId="31" builtinId="8" hidden="1"/>
    <cellStyle name="Hyperlink" xfId="37" builtinId="8" hidden="1"/>
    <cellStyle name="Hyperlink" xfId="319" builtinId="8" hidden="1"/>
    <cellStyle name="Hyperlink" xfId="333" builtinId="8" hidden="1"/>
    <cellStyle name="Hyperlink" xfId="167" builtinId="8" hidden="1"/>
    <cellStyle name="Hyperlink" xfId="151" builtinId="8" hidden="1"/>
    <cellStyle name="Hyperlink" xfId="259" builtinId="8" hidden="1"/>
    <cellStyle name="Hyperlink" xfId="155" builtinId="8" hidden="1"/>
    <cellStyle name="Hyperlink" xfId="163" builtinId="8" hidden="1"/>
    <cellStyle name="Hyperlink" xfId="105" builtinId="8" hidden="1"/>
    <cellStyle name="Hyperlink" xfId="159" builtinId="8" hidden="1"/>
    <cellStyle name="Hyperlink" xfId="99" builtinId="8" hidden="1"/>
    <cellStyle name="Normal" xfId="0" builtinId="0"/>
  </cellStyles>
  <dxfs count="148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Fitting parameters of representative structures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'Final Sensitivity Analysis'!$R$7</c:f>
              <c:strCache>
                <c:ptCount val="1"/>
                <c:pt idx="0">
                  <c:v>Pore skew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'Final Sensitivity Analysis'!$S$5:$T$5</c:f>
              <c:numCache>
                <c:formatCode>General</c:formatCode>
                <c:ptCount val="2"/>
                <c:pt idx="0">
                  <c:v>110</c:v>
                </c:pt>
                <c:pt idx="1">
                  <c:v>430</c:v>
                </c:pt>
              </c:numCache>
            </c:numRef>
          </c:cat>
          <c:val>
            <c:numRef>
              <c:f>'Final Sensitivity Analysis'!$S$7:$T$7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34-4E87-A8CF-AE7698C4ADE3}"/>
            </c:ext>
          </c:extLst>
        </c:ser>
        <c:ser>
          <c:idx val="2"/>
          <c:order val="2"/>
          <c:tx>
            <c:strRef>
              <c:f>'Final Sensitivity Analysis'!$R$9</c:f>
              <c:strCache>
                <c:ptCount val="1"/>
                <c:pt idx="0">
                  <c:v>Throat spread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'Final Sensitivity Analysis'!$S$5:$T$5</c:f>
              <c:numCache>
                <c:formatCode>General</c:formatCode>
                <c:ptCount val="2"/>
                <c:pt idx="0">
                  <c:v>110</c:v>
                </c:pt>
                <c:pt idx="1">
                  <c:v>430</c:v>
                </c:pt>
              </c:numCache>
            </c:numRef>
          </c:cat>
          <c:val>
            <c:numRef>
              <c:f>'Final Sensitivity Analysis'!$S$9:$T$9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34-4E87-A8CF-AE7698C4ADE3}"/>
            </c:ext>
          </c:extLst>
        </c:ser>
        <c:ser>
          <c:idx val="3"/>
          <c:order val="3"/>
          <c:tx>
            <c:strRef>
              <c:f>'Final Sensitivity Analysis'!$R$10</c:f>
              <c:strCache>
                <c:ptCount val="1"/>
                <c:pt idx="0">
                  <c:v>Connectivity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'Final Sensitivity Analysis'!$S$5:$T$5</c:f>
              <c:numCache>
                <c:formatCode>General</c:formatCode>
                <c:ptCount val="2"/>
                <c:pt idx="0">
                  <c:v>110</c:v>
                </c:pt>
                <c:pt idx="1">
                  <c:v>430</c:v>
                </c:pt>
              </c:numCache>
            </c:numRef>
          </c:cat>
          <c:val>
            <c:numRef>
              <c:f>'Final Sensitivity Analysis'!$S$10:$T$10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34-4E87-A8CF-AE7698C4ADE3}"/>
            </c:ext>
          </c:extLst>
        </c:ser>
        <c:ser>
          <c:idx val="4"/>
          <c:order val="4"/>
          <c:tx>
            <c:strRef>
              <c:f>'Final Sensitivity Analysis'!$R$12</c:f>
              <c:strCache>
                <c:ptCount val="1"/>
                <c:pt idx="0">
                  <c:v>Correlation level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'Final Sensitivity Analysis'!$S$5:$T$5</c:f>
              <c:numCache>
                <c:formatCode>General</c:formatCode>
                <c:ptCount val="2"/>
                <c:pt idx="0">
                  <c:v>110</c:v>
                </c:pt>
                <c:pt idx="1">
                  <c:v>430</c:v>
                </c:pt>
              </c:numCache>
            </c:numRef>
          </c:cat>
          <c:val>
            <c:numRef>
              <c:f>'Final Sensitivity Analysis'!$S$12:$T$12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34-4E87-A8CF-AE7698C4A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430128"/>
        <c:axId val="292431248"/>
      </c:lineChart>
      <c:lineChart>
        <c:grouping val="standard"/>
        <c:varyColors val="0"/>
        <c:ser>
          <c:idx val="1"/>
          <c:order val="1"/>
          <c:tx>
            <c:strRef>
              <c:f>'Final Sensitivity Analysis'!$R$8</c:f>
              <c:strCache>
                <c:ptCount val="1"/>
                <c:pt idx="0">
                  <c:v>Throat skew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'Final Sensitivity Analysis'!$S$5:$T$5</c:f>
              <c:numCache>
                <c:formatCode>General</c:formatCode>
                <c:ptCount val="2"/>
                <c:pt idx="0">
                  <c:v>110</c:v>
                </c:pt>
                <c:pt idx="1">
                  <c:v>430</c:v>
                </c:pt>
              </c:numCache>
            </c:numRef>
          </c:cat>
          <c:val>
            <c:numRef>
              <c:f>'Final Sensitivity Analysis'!$S$8:$T$8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34-4E87-A8CF-AE7698C4A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129008"/>
        <c:axId val="308129568"/>
      </c:lineChart>
      <c:catAx>
        <c:axId val="29243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31248"/>
        <c:crosses val="autoZero"/>
        <c:auto val="1"/>
        <c:lblAlgn val="ctr"/>
        <c:lblOffset val="100"/>
        <c:noMultiLvlLbl val="0"/>
      </c:catAx>
      <c:valAx>
        <c:axId val="29243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30128"/>
        <c:crosses val="autoZero"/>
        <c:crossBetween val="between"/>
      </c:valAx>
      <c:valAx>
        <c:axId val="3081295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129008"/>
        <c:crosses val="max"/>
        <c:crossBetween val="between"/>
      </c:valAx>
      <c:catAx>
        <c:axId val="308129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8129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Fitting parameters of representative structures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'BAD - Sensitivity analysis New'!$R$7</c:f>
              <c:strCache>
                <c:ptCount val="1"/>
                <c:pt idx="0">
                  <c:v>Pore skew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'BAD - Sensitivity analysis New'!$S$5:$T$5</c:f>
              <c:numCache>
                <c:formatCode>General</c:formatCode>
                <c:ptCount val="2"/>
                <c:pt idx="0">
                  <c:v>110</c:v>
                </c:pt>
                <c:pt idx="1">
                  <c:v>430</c:v>
                </c:pt>
              </c:numCache>
            </c:numRef>
          </c:cat>
          <c:val>
            <c:numRef>
              <c:f>'BAD - Sensitivity analysis New'!$S$7:$T$7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8-4419-9134-C6721D37CE0D}"/>
            </c:ext>
          </c:extLst>
        </c:ser>
        <c:ser>
          <c:idx val="2"/>
          <c:order val="2"/>
          <c:tx>
            <c:strRef>
              <c:f>'BAD - Sensitivity analysis New'!$R$9</c:f>
              <c:strCache>
                <c:ptCount val="1"/>
                <c:pt idx="0">
                  <c:v>Throat spread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'BAD - Sensitivity analysis New'!$S$5:$T$5</c:f>
              <c:numCache>
                <c:formatCode>General</c:formatCode>
                <c:ptCount val="2"/>
                <c:pt idx="0">
                  <c:v>110</c:v>
                </c:pt>
                <c:pt idx="1">
                  <c:v>430</c:v>
                </c:pt>
              </c:numCache>
            </c:numRef>
          </c:cat>
          <c:val>
            <c:numRef>
              <c:f>'BAD - Sensitivity analysis New'!$S$9:$T$9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08-4419-9134-C6721D37CE0D}"/>
            </c:ext>
          </c:extLst>
        </c:ser>
        <c:ser>
          <c:idx val="3"/>
          <c:order val="3"/>
          <c:tx>
            <c:strRef>
              <c:f>'BAD - Sensitivity analysis New'!$R$10</c:f>
              <c:strCache>
                <c:ptCount val="1"/>
                <c:pt idx="0">
                  <c:v>Connectivity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'BAD - Sensitivity analysis New'!$S$5:$T$5</c:f>
              <c:numCache>
                <c:formatCode>General</c:formatCode>
                <c:ptCount val="2"/>
                <c:pt idx="0">
                  <c:v>110</c:v>
                </c:pt>
                <c:pt idx="1">
                  <c:v>430</c:v>
                </c:pt>
              </c:numCache>
            </c:numRef>
          </c:cat>
          <c:val>
            <c:numRef>
              <c:f>'BAD - Sensitivity analysis New'!$S$10:$T$10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08-4419-9134-C6721D37CE0D}"/>
            </c:ext>
          </c:extLst>
        </c:ser>
        <c:ser>
          <c:idx val="4"/>
          <c:order val="4"/>
          <c:tx>
            <c:strRef>
              <c:f>'BAD - Sensitivity analysis New'!$R$12</c:f>
              <c:strCache>
                <c:ptCount val="1"/>
                <c:pt idx="0">
                  <c:v>Correlation level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'BAD - Sensitivity analysis New'!$S$5:$T$5</c:f>
              <c:numCache>
                <c:formatCode>General</c:formatCode>
                <c:ptCount val="2"/>
                <c:pt idx="0">
                  <c:v>110</c:v>
                </c:pt>
                <c:pt idx="1">
                  <c:v>430</c:v>
                </c:pt>
              </c:numCache>
            </c:numRef>
          </c:cat>
          <c:val>
            <c:numRef>
              <c:f>'BAD - Sensitivity analysis New'!$S$12:$T$12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08-4419-9134-C6721D37C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430128"/>
        <c:axId val="292431248"/>
      </c:lineChart>
      <c:lineChart>
        <c:grouping val="standard"/>
        <c:varyColors val="0"/>
        <c:ser>
          <c:idx val="1"/>
          <c:order val="1"/>
          <c:tx>
            <c:strRef>
              <c:f>'BAD - Sensitivity analysis New'!$R$8</c:f>
              <c:strCache>
                <c:ptCount val="1"/>
                <c:pt idx="0">
                  <c:v>Throat skew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'BAD - Sensitivity analysis New'!$S$5:$T$5</c:f>
              <c:numCache>
                <c:formatCode>General</c:formatCode>
                <c:ptCount val="2"/>
                <c:pt idx="0">
                  <c:v>110</c:v>
                </c:pt>
                <c:pt idx="1">
                  <c:v>430</c:v>
                </c:pt>
              </c:numCache>
            </c:numRef>
          </c:cat>
          <c:val>
            <c:numRef>
              <c:f>'BAD - Sensitivity analysis New'!$S$8:$T$8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08-4419-9134-C6721D37C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129008"/>
        <c:axId val="308129568"/>
      </c:lineChart>
      <c:catAx>
        <c:axId val="29243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31248"/>
        <c:crosses val="autoZero"/>
        <c:auto val="1"/>
        <c:lblAlgn val="ctr"/>
        <c:lblOffset val="100"/>
        <c:noMultiLvlLbl val="0"/>
      </c:catAx>
      <c:valAx>
        <c:axId val="29243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30128"/>
        <c:crosses val="autoZero"/>
        <c:crossBetween val="between"/>
      </c:valAx>
      <c:valAx>
        <c:axId val="3081295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129008"/>
        <c:crosses val="max"/>
        <c:crossBetween val="between"/>
      </c:valAx>
      <c:catAx>
        <c:axId val="308129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8129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Fitting parameters of representative structures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'Sensitivity analysis'!$S$7</c:f>
              <c:strCache>
                <c:ptCount val="1"/>
                <c:pt idx="0">
                  <c:v>Pore skew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'Sensitivity analysis'!$T$5:$U$5</c:f>
              <c:numCache>
                <c:formatCode>General</c:formatCode>
                <c:ptCount val="2"/>
                <c:pt idx="0">
                  <c:v>110</c:v>
                </c:pt>
                <c:pt idx="1">
                  <c:v>430</c:v>
                </c:pt>
              </c:numCache>
            </c:numRef>
          </c:cat>
          <c:val>
            <c:numRef>
              <c:f>'Sensitivity analysis'!$T$7:$U$7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A7-4F0B-A8EC-5FFC119923E7}"/>
            </c:ext>
          </c:extLst>
        </c:ser>
        <c:ser>
          <c:idx val="2"/>
          <c:order val="2"/>
          <c:tx>
            <c:strRef>
              <c:f>'Sensitivity analysis'!$S$9</c:f>
              <c:strCache>
                <c:ptCount val="1"/>
                <c:pt idx="0">
                  <c:v>Throat spread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'Sensitivity analysis'!$T$5:$U$5</c:f>
              <c:numCache>
                <c:formatCode>General</c:formatCode>
                <c:ptCount val="2"/>
                <c:pt idx="0">
                  <c:v>110</c:v>
                </c:pt>
                <c:pt idx="1">
                  <c:v>430</c:v>
                </c:pt>
              </c:numCache>
            </c:numRef>
          </c:cat>
          <c:val>
            <c:numRef>
              <c:f>'Sensitivity analysis'!$T$9:$U$9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A7-4F0B-A8EC-5FFC119923E7}"/>
            </c:ext>
          </c:extLst>
        </c:ser>
        <c:ser>
          <c:idx val="3"/>
          <c:order val="3"/>
          <c:tx>
            <c:strRef>
              <c:f>'Sensitivity analysis'!$S$10</c:f>
              <c:strCache>
                <c:ptCount val="1"/>
                <c:pt idx="0">
                  <c:v>Connectivity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'Sensitivity analysis'!$T$5:$U$5</c:f>
              <c:numCache>
                <c:formatCode>General</c:formatCode>
                <c:ptCount val="2"/>
                <c:pt idx="0">
                  <c:v>110</c:v>
                </c:pt>
                <c:pt idx="1">
                  <c:v>430</c:v>
                </c:pt>
              </c:numCache>
            </c:numRef>
          </c:cat>
          <c:val>
            <c:numRef>
              <c:f>'Sensitivity analysis'!$T$10:$U$10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A7-4F0B-A8EC-5FFC119923E7}"/>
            </c:ext>
          </c:extLst>
        </c:ser>
        <c:ser>
          <c:idx val="4"/>
          <c:order val="4"/>
          <c:tx>
            <c:strRef>
              <c:f>'Sensitivity analysis'!$S$12</c:f>
              <c:strCache>
                <c:ptCount val="1"/>
                <c:pt idx="0">
                  <c:v>Correlation level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'Sensitivity analysis'!$T$5:$U$5</c:f>
              <c:numCache>
                <c:formatCode>General</c:formatCode>
                <c:ptCount val="2"/>
                <c:pt idx="0">
                  <c:v>110</c:v>
                </c:pt>
                <c:pt idx="1">
                  <c:v>430</c:v>
                </c:pt>
              </c:numCache>
            </c:numRef>
          </c:cat>
          <c:val>
            <c:numRef>
              <c:f>'Sensitivity analysis'!$T$12:$U$12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A7-4F0B-A8EC-5FFC1199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430128"/>
        <c:axId val="292431248"/>
      </c:lineChart>
      <c:lineChart>
        <c:grouping val="standard"/>
        <c:varyColors val="0"/>
        <c:ser>
          <c:idx val="1"/>
          <c:order val="1"/>
          <c:tx>
            <c:strRef>
              <c:f>'Sensitivity analysis'!$S$8</c:f>
              <c:strCache>
                <c:ptCount val="1"/>
                <c:pt idx="0">
                  <c:v>Throat skew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'Sensitivity analysis'!$T$5:$U$5</c:f>
              <c:numCache>
                <c:formatCode>General</c:formatCode>
                <c:ptCount val="2"/>
                <c:pt idx="0">
                  <c:v>110</c:v>
                </c:pt>
                <c:pt idx="1">
                  <c:v>430</c:v>
                </c:pt>
              </c:numCache>
            </c:numRef>
          </c:cat>
          <c:val>
            <c:numRef>
              <c:f>'Sensitivity analysis'!$T$8:$U$8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A7-4F0B-A8EC-5FFC1199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129008"/>
        <c:axId val="308129568"/>
      </c:lineChart>
      <c:catAx>
        <c:axId val="29243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31248"/>
        <c:crosses val="autoZero"/>
        <c:auto val="1"/>
        <c:lblAlgn val="ctr"/>
        <c:lblOffset val="100"/>
        <c:noMultiLvlLbl val="0"/>
      </c:catAx>
      <c:valAx>
        <c:axId val="29243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30128"/>
        <c:crosses val="autoZero"/>
        <c:crossBetween val="between"/>
      </c:valAx>
      <c:valAx>
        <c:axId val="3081295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129008"/>
        <c:crosses val="max"/>
        <c:crossBetween val="between"/>
      </c:valAx>
      <c:catAx>
        <c:axId val="308129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8129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85725</xdr:colOff>
      <xdr:row>22</xdr:row>
      <xdr:rowOff>60325</xdr:rowOff>
    </xdr:from>
    <xdr:to>
      <xdr:col>22</xdr:col>
      <xdr:colOff>388620</xdr:colOff>
      <xdr:row>42</xdr:row>
      <xdr:rowOff>140335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E69B962F-C684-4422-A989-A974F8AA3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28</xdr:row>
      <xdr:rowOff>12700</xdr:rowOff>
    </xdr:from>
    <xdr:to>
      <xdr:col>27</xdr:col>
      <xdr:colOff>7620</xdr:colOff>
      <xdr:row>48</xdr:row>
      <xdr:rowOff>92710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566B5D3D-DCE3-4825-8D97-698803582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571500</xdr:colOff>
      <xdr:row>28</xdr:row>
      <xdr:rowOff>12700</xdr:rowOff>
    </xdr:from>
    <xdr:to>
      <xdr:col>28</xdr:col>
      <xdr:colOff>7620</xdr:colOff>
      <xdr:row>48</xdr:row>
      <xdr:rowOff>92710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C76D4F-C25D-422B-BEF8-6B15397CE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(s) Bradley Moresby-White" id="{2EFFA3D8-7A90-44AB-A55A-F8EBF5E70EEB}" userId="S::bradley.moresby-white@students.plymouth.ac.uk::0f7ed042-d4cc-41b6-9aa1-27360c959150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3" dT="2025-07-06T15:48:29.95" personId="{2EFFA3D8-7A90-44AB-A55A-F8EBF5E70EEB}" id="{0E27654A-DECF-4E8E-8576-CF127C301E13}">
    <text>One of the global optima found by PoreXpert, only 0.00111 away from  being within the STDEV, hence selected as better fit and much more congruent open porosity.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F2DF-539E-4196-8F3C-865CF1988BD8}">
  <dimension ref="A1:U136"/>
  <sheetViews>
    <sheetView tabSelected="1" topLeftCell="A60" zoomScale="70" zoomScaleNormal="70" workbookViewId="0">
      <selection activeCell="Q66" sqref="Q66"/>
    </sheetView>
  </sheetViews>
  <sheetFormatPr defaultColWidth="10.6328125" defaultRowHeight="12.75" customHeight="1" x14ac:dyDescent="0.3"/>
  <cols>
    <col min="1" max="1" width="19.54296875" style="1" customWidth="1"/>
    <col min="2" max="16" width="8.90625" style="1"/>
    <col min="17" max="17" width="36.6328125" style="1" bestFit="1" customWidth="1"/>
    <col min="18" max="18" width="11.36328125" style="1" customWidth="1"/>
    <col min="19" max="20" width="8.90625" style="1"/>
    <col min="21" max="21" width="12.36328125" style="1" customWidth="1"/>
    <col min="22" max="23" width="8.90625" style="1"/>
    <col min="24" max="16384" width="10.6328125" style="1"/>
  </cols>
  <sheetData>
    <row r="1" spans="1:21" ht="13.8" x14ac:dyDescent="0.3">
      <c r="A1" s="2"/>
      <c r="C1" s="2"/>
    </row>
    <row r="2" spans="1:21" ht="12.75" customHeight="1" x14ac:dyDescent="0.3">
      <c r="B2" s="17"/>
    </row>
    <row r="3" spans="1:21" ht="13.8" x14ac:dyDescent="0.3">
      <c r="A3" s="2" t="s">
        <v>0</v>
      </c>
      <c r="B3" s="24" t="s">
        <v>1</v>
      </c>
      <c r="C3" s="23"/>
      <c r="D3" s="23"/>
      <c r="E3" s="23"/>
      <c r="F3" s="23"/>
      <c r="G3" s="23"/>
      <c r="H3" s="23"/>
      <c r="I3" s="23"/>
      <c r="J3" s="23"/>
      <c r="K3" s="23"/>
      <c r="L3" s="7"/>
      <c r="M3" s="7"/>
      <c r="N3" s="7"/>
    </row>
    <row r="4" spans="1:21" ht="13.8" x14ac:dyDescent="0.3">
      <c r="B4" s="24" t="s">
        <v>2</v>
      </c>
      <c r="C4" s="23"/>
      <c r="D4" s="23"/>
      <c r="E4" s="23"/>
      <c r="F4" s="23"/>
      <c r="G4" s="23"/>
      <c r="H4" s="23"/>
      <c r="I4" s="23"/>
      <c r="J4" s="23"/>
      <c r="K4" s="23"/>
      <c r="L4" s="7"/>
      <c r="M4" s="7"/>
      <c r="N4" s="7"/>
      <c r="U4" s="2" t="s">
        <v>3</v>
      </c>
    </row>
    <row r="5" spans="1:21" ht="13.8" x14ac:dyDescent="0.3">
      <c r="A5" s="7" t="s">
        <v>4</v>
      </c>
      <c r="B5" s="7">
        <v>1</v>
      </c>
      <c r="C5" s="7">
        <v>2</v>
      </c>
      <c r="D5" s="7">
        <v>3</v>
      </c>
      <c r="E5" s="7">
        <v>4</v>
      </c>
      <c r="F5" s="7">
        <v>5</v>
      </c>
      <c r="G5" s="21">
        <v>6</v>
      </c>
      <c r="H5" s="7">
        <v>7</v>
      </c>
      <c r="I5" s="7">
        <v>8</v>
      </c>
      <c r="J5" s="7">
        <v>9</v>
      </c>
      <c r="K5" s="7">
        <v>10</v>
      </c>
      <c r="L5" s="7" t="s">
        <v>5</v>
      </c>
      <c r="M5" s="7" t="s">
        <v>6</v>
      </c>
      <c r="N5" s="7" t="s">
        <v>7</v>
      </c>
      <c r="O5" s="7" t="s">
        <v>8</v>
      </c>
      <c r="R5" s="2" t="s">
        <v>9</v>
      </c>
      <c r="S5" s="1">
        <v>110</v>
      </c>
      <c r="T5" s="1">
        <v>430</v>
      </c>
    </row>
    <row r="6" spans="1:21" ht="14.4" x14ac:dyDescent="0.3">
      <c r="A6" s="1" t="s">
        <v>10</v>
      </c>
      <c r="B6" s="1">
        <v>1.31911</v>
      </c>
      <c r="C6" s="8">
        <v>1.368976</v>
      </c>
      <c r="D6" s="8">
        <v>1.297612</v>
      </c>
      <c r="E6" s="8">
        <v>1.31911</v>
      </c>
      <c r="F6" s="8">
        <v>1.616598</v>
      </c>
      <c r="G6" s="8">
        <v>1.4729840000000001</v>
      </c>
      <c r="H6" s="8">
        <v>1.523088</v>
      </c>
      <c r="I6" s="8">
        <v>1.8201700000000001</v>
      </c>
      <c r="J6" s="8">
        <v>1.523088</v>
      </c>
      <c r="K6" s="8">
        <v>1.894598</v>
      </c>
      <c r="L6" s="1">
        <f>AVERAGE(B6:K6)</f>
        <v>1.5155334</v>
      </c>
      <c r="M6" s="1">
        <f>STDEV(B6:K6)</f>
        <v>0.20943447397864365</v>
      </c>
      <c r="N6" s="1">
        <f>L6-M6</f>
        <v>1.3060989260213565</v>
      </c>
      <c r="O6" s="1">
        <f>L6+M6</f>
        <v>1.7249678739786436</v>
      </c>
      <c r="R6" s="2" t="s">
        <v>11</v>
      </c>
      <c r="S6" s="3"/>
      <c r="T6" s="4"/>
    </row>
    <row r="7" spans="1:21" ht="14.4" x14ac:dyDescent="0.3">
      <c r="A7" s="1" t="s">
        <v>12</v>
      </c>
      <c r="B7" s="8">
        <v>21.271540000000002</v>
      </c>
      <c r="C7" s="8">
        <v>17.352557000000001</v>
      </c>
      <c r="D7" s="1">
        <v>19.377005</v>
      </c>
      <c r="E7" s="8">
        <v>21.271540000000002</v>
      </c>
      <c r="F7" s="8">
        <v>16.832919</v>
      </c>
      <c r="G7" s="8">
        <v>19.251604</v>
      </c>
      <c r="H7" s="8">
        <v>21.396785999999999</v>
      </c>
      <c r="I7" s="8">
        <v>21.247868</v>
      </c>
      <c r="J7" s="8">
        <v>21.396785999999999</v>
      </c>
      <c r="K7" s="8">
        <v>17.853836000000001</v>
      </c>
      <c r="L7" s="1">
        <f t="shared" ref="L7:L12" si="0">AVERAGE(B7:K7)</f>
        <v>19.725244100000001</v>
      </c>
      <c r="M7" s="1">
        <f t="shared" ref="M7:M12" si="1">STDEV(B7:K7)</f>
        <v>1.8418442586746486</v>
      </c>
      <c r="N7" s="1">
        <f t="shared" ref="N7:N10" si="2">L7-M7</f>
        <v>17.883399841325353</v>
      </c>
      <c r="O7" s="1">
        <f t="shared" ref="O7:O10" si="3">L7+M7</f>
        <v>21.567088358674649</v>
      </c>
      <c r="R7" s="1" t="s">
        <v>10</v>
      </c>
      <c r="S7" s="6"/>
      <c r="T7" s="6"/>
    </row>
    <row r="8" spans="1:21" ht="14.4" x14ac:dyDescent="0.3">
      <c r="A8" s="1" t="s">
        <v>13</v>
      </c>
      <c r="B8" s="8">
        <v>0.48300799999999999</v>
      </c>
      <c r="C8" s="8">
        <v>0.49302699999999999</v>
      </c>
      <c r="D8" s="1">
        <v>0.495006</v>
      </c>
      <c r="E8" s="8">
        <v>0.48300799999999999</v>
      </c>
      <c r="F8" s="1">
        <v>0.52167799999999998</v>
      </c>
      <c r="G8" s="1">
        <v>0.49021500000000001</v>
      </c>
      <c r="H8" s="1">
        <v>0.48988700000000002</v>
      </c>
      <c r="I8" s="1">
        <v>0.464561</v>
      </c>
      <c r="J8" s="1">
        <v>0.48988700000000002</v>
      </c>
      <c r="K8" s="1">
        <v>0.45467299999999999</v>
      </c>
      <c r="L8" s="1">
        <f t="shared" si="0"/>
        <v>0.48649500000000001</v>
      </c>
      <c r="M8" s="1">
        <f t="shared" si="1"/>
        <v>1.797484581915022E-2</v>
      </c>
      <c r="N8" s="1">
        <f t="shared" si="2"/>
        <v>0.4685201541808498</v>
      </c>
      <c r="O8" s="1">
        <f t="shared" si="3"/>
        <v>0.50446984581915022</v>
      </c>
      <c r="R8" s="1" t="s">
        <v>12</v>
      </c>
      <c r="S8" s="6"/>
      <c r="T8" s="6"/>
    </row>
    <row r="9" spans="1:21" ht="14.4" x14ac:dyDescent="0.3">
      <c r="A9" s="1" t="s">
        <v>14</v>
      </c>
      <c r="B9" s="8">
        <v>3.7918859999999999</v>
      </c>
      <c r="C9" s="8">
        <v>4.0097990000000001</v>
      </c>
      <c r="D9" s="8">
        <v>4.0179049999999998</v>
      </c>
      <c r="E9" s="8">
        <v>3.7918859999999999</v>
      </c>
      <c r="F9" s="1">
        <v>4.4376059999999997</v>
      </c>
      <c r="G9" s="1">
        <v>3.9743819999999999</v>
      </c>
      <c r="H9" s="1">
        <v>3.6998150000000001</v>
      </c>
      <c r="I9" s="1">
        <v>3.623726</v>
      </c>
      <c r="J9" s="1">
        <v>3.6998150000000001</v>
      </c>
      <c r="K9" s="1">
        <v>3.7559629999999999</v>
      </c>
      <c r="L9" s="1">
        <f t="shared" si="0"/>
        <v>3.8802782999999996</v>
      </c>
      <c r="M9" s="1">
        <f t="shared" si="1"/>
        <v>0.2397267358575175</v>
      </c>
      <c r="N9" s="1">
        <f t="shared" si="2"/>
        <v>3.6405515641424819</v>
      </c>
      <c r="O9" s="1">
        <f t="shared" si="3"/>
        <v>4.1200050358575169</v>
      </c>
      <c r="R9" s="1" t="s">
        <v>13</v>
      </c>
      <c r="S9" s="6"/>
      <c r="T9" s="6"/>
    </row>
    <row r="10" spans="1:21" ht="14.4" x14ac:dyDescent="0.3">
      <c r="A10" s="1" t="s">
        <v>15</v>
      </c>
      <c r="B10" s="1">
        <v>8.9326000000000003E-2</v>
      </c>
      <c r="C10" s="8">
        <v>9.6669000000000005E-2</v>
      </c>
      <c r="D10" s="1">
        <v>6.6721000000000003E-2</v>
      </c>
      <c r="E10" s="8">
        <v>8.9326000000000003E-2</v>
      </c>
      <c r="F10" s="8">
        <v>7.7721999999999999E-2</v>
      </c>
      <c r="G10" s="8">
        <v>6.8245E-2</v>
      </c>
      <c r="H10" s="8">
        <v>6.5439999999999998E-2</v>
      </c>
      <c r="I10" s="8">
        <v>5.9542999999999999E-2</v>
      </c>
      <c r="J10" s="8">
        <v>6.5439999999999998E-2</v>
      </c>
      <c r="K10" s="8">
        <v>5.2165999999999997E-2</v>
      </c>
      <c r="L10" s="1">
        <f t="shared" si="0"/>
        <v>7.3059800000000022E-2</v>
      </c>
      <c r="M10" s="1">
        <f t="shared" si="1"/>
        <v>1.4556591128725382E-2</v>
      </c>
      <c r="N10" s="1">
        <f t="shared" si="2"/>
        <v>5.8503208871274637E-2</v>
      </c>
      <c r="O10" s="1">
        <f t="shared" si="3"/>
        <v>8.7616391128725407E-2</v>
      </c>
      <c r="R10" s="1" t="s">
        <v>14</v>
      </c>
      <c r="S10" s="6"/>
      <c r="T10" s="6"/>
    </row>
    <row r="11" spans="1:21" ht="14.4" x14ac:dyDescent="0.3">
      <c r="A11" s="1" t="s">
        <v>16</v>
      </c>
      <c r="B11" s="9">
        <v>20.34</v>
      </c>
      <c r="C11" s="9">
        <v>18.75</v>
      </c>
      <c r="D11" s="9">
        <v>17.079999999999998</v>
      </c>
      <c r="E11" s="9">
        <v>18.27</v>
      </c>
      <c r="F11" s="9">
        <v>17.670000000000002</v>
      </c>
      <c r="G11" s="9">
        <v>19.600000000000001</v>
      </c>
      <c r="H11" s="9">
        <v>17.16</v>
      </c>
      <c r="I11" s="9">
        <v>18.510000000000002</v>
      </c>
      <c r="J11" s="9">
        <v>16.809999999999999</v>
      </c>
      <c r="K11" s="9">
        <v>16.82</v>
      </c>
      <c r="L11" s="9">
        <f>AVERAGE(B11:K11)</f>
        <v>18.100999999999999</v>
      </c>
      <c r="M11" s="9">
        <f>STDEV(B11:K11)</f>
        <v>1.2155698252260136</v>
      </c>
      <c r="N11" s="9">
        <f>L11-M11</f>
        <v>16.885430174773987</v>
      </c>
      <c r="O11" s="9">
        <f>L11+M11</f>
        <v>19.316569825226011</v>
      </c>
      <c r="S11" s="6"/>
      <c r="T11" s="6"/>
    </row>
    <row r="12" spans="1:21" ht="14.4" x14ac:dyDescent="0.3">
      <c r="A12" s="1" t="s">
        <v>17</v>
      </c>
      <c r="B12" s="9">
        <v>1.1499999999999999</v>
      </c>
      <c r="C12" s="9">
        <v>0.98</v>
      </c>
      <c r="D12" s="9">
        <v>1.1200000000000001</v>
      </c>
      <c r="E12" s="9">
        <v>0.998</v>
      </c>
      <c r="F12" s="9">
        <v>1.1599999999999999</v>
      </c>
      <c r="G12" s="9">
        <v>1.1499999999999999</v>
      </c>
      <c r="H12" s="9">
        <v>1.17</v>
      </c>
      <c r="I12" s="9">
        <v>1.07</v>
      </c>
      <c r="J12" s="9">
        <v>1.1200000000000001</v>
      </c>
      <c r="K12" s="9">
        <v>1.1299999999999999</v>
      </c>
      <c r="L12" s="9">
        <f t="shared" si="0"/>
        <v>1.1047999999999998</v>
      </c>
      <c r="M12" s="9">
        <f t="shared" si="1"/>
        <v>6.7225656477931731E-2</v>
      </c>
      <c r="N12" s="9">
        <f>L12-M12</f>
        <v>1.0375743435220681</v>
      </c>
      <c r="O12" s="9">
        <f>L12+M12</f>
        <v>1.1720256564779314</v>
      </c>
      <c r="R12" s="1" t="s">
        <v>15</v>
      </c>
      <c r="S12" s="6"/>
      <c r="T12" s="6"/>
    </row>
    <row r="13" spans="1:21" ht="13.8" x14ac:dyDescent="0.3">
      <c r="A13" s="1" t="s">
        <v>18</v>
      </c>
      <c r="B13" s="22">
        <f>ABS((B11-20.36)/20.36)*100</f>
        <v>9.8231827111982195E-2</v>
      </c>
      <c r="C13" s="22">
        <f t="shared" ref="C13:K13" si="4">ABS((C11-20.36)/20.36)*100</f>
        <v>7.907662082514733</v>
      </c>
      <c r="D13" s="22">
        <f t="shared" si="4"/>
        <v>16.11001964636543</v>
      </c>
      <c r="E13" s="22">
        <f t="shared" si="4"/>
        <v>10.265225933202357</v>
      </c>
      <c r="F13" s="22">
        <f t="shared" si="4"/>
        <v>13.212180746561874</v>
      </c>
      <c r="G13" s="22">
        <f>ABS((G11-20.36)/20.36)*100</f>
        <v>3.7328094302553931</v>
      </c>
      <c r="H13" s="22">
        <f t="shared" si="4"/>
        <v>15.717092337917482</v>
      </c>
      <c r="I13" s="22">
        <f t="shared" si="4"/>
        <v>9.0864440078585371</v>
      </c>
      <c r="J13" s="22">
        <f t="shared" si="4"/>
        <v>17.436149312377214</v>
      </c>
      <c r="K13" s="22">
        <f t="shared" si="4"/>
        <v>17.387033398821213</v>
      </c>
      <c r="R13" s="1" t="s">
        <v>19</v>
      </c>
    </row>
    <row r="14" spans="1:21" ht="13.8" x14ac:dyDescent="0.3"/>
    <row r="15" spans="1:21" ht="13.8" x14ac:dyDescent="0.3">
      <c r="A15" s="2" t="s">
        <v>20</v>
      </c>
      <c r="B15" s="23" t="s">
        <v>1</v>
      </c>
      <c r="C15" s="23"/>
      <c r="D15" s="23"/>
      <c r="E15" s="23"/>
      <c r="F15" s="23"/>
      <c r="G15" s="23"/>
      <c r="H15" s="23"/>
      <c r="I15" s="23"/>
      <c r="J15" s="23"/>
      <c r="K15" s="23"/>
    </row>
    <row r="16" spans="1:21" ht="12.75" customHeight="1" x14ac:dyDescent="0.3">
      <c r="B16" s="23" t="s">
        <v>2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5" ht="13.8" x14ac:dyDescent="0.3">
      <c r="A17" s="7" t="s">
        <v>4</v>
      </c>
      <c r="B17" s="7">
        <v>1</v>
      </c>
      <c r="C17" s="7">
        <v>2</v>
      </c>
      <c r="D17" s="7">
        <v>3</v>
      </c>
      <c r="E17" s="21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 t="s">
        <v>5</v>
      </c>
      <c r="M17" s="7" t="s">
        <v>6</v>
      </c>
      <c r="N17" s="7" t="s">
        <v>7</v>
      </c>
      <c r="O17" s="7" t="s">
        <v>8</v>
      </c>
    </row>
    <row r="18" spans="1:15" ht="14.4" x14ac:dyDescent="0.3">
      <c r="A18" s="1" t="s">
        <v>10</v>
      </c>
      <c r="B18" s="11">
        <v>1.31911</v>
      </c>
      <c r="C18" s="12">
        <v>1.2271510000000001</v>
      </c>
      <c r="D18" s="12">
        <v>1.297612</v>
      </c>
      <c r="E18" s="12">
        <v>1.31911</v>
      </c>
      <c r="F18" s="12">
        <v>1.630474</v>
      </c>
      <c r="G18" s="12">
        <v>1.4729840000000001</v>
      </c>
      <c r="H18" s="12">
        <v>1.523088</v>
      </c>
      <c r="I18" s="12">
        <v>1.8201700000000001</v>
      </c>
      <c r="J18" s="12">
        <v>1.523088</v>
      </c>
      <c r="K18" s="11">
        <v>1.894598</v>
      </c>
      <c r="L18" s="1">
        <f>AVERAGE(B18:K18)</f>
        <v>1.5027385</v>
      </c>
      <c r="M18" s="1">
        <f>STDEV(B18:K18)</f>
        <v>0.22553903841599446</v>
      </c>
      <c r="N18" s="1">
        <f>L18-M18</f>
        <v>1.2771994615840054</v>
      </c>
      <c r="O18" s="1">
        <f>L18+M18</f>
        <v>1.7282775384159945</v>
      </c>
    </row>
    <row r="19" spans="1:15" ht="14.4" x14ac:dyDescent="0.3">
      <c r="A19" s="1" t="s">
        <v>12</v>
      </c>
      <c r="B19" s="11">
        <v>21.271540000000002</v>
      </c>
      <c r="C19" s="12">
        <v>20.890311000000001</v>
      </c>
      <c r="D19" s="12">
        <v>19.377005</v>
      </c>
      <c r="E19" s="12">
        <v>21.271540000000002</v>
      </c>
      <c r="F19" s="12">
        <v>16.594159999999999</v>
      </c>
      <c r="G19" s="12">
        <v>19.251604</v>
      </c>
      <c r="H19" s="12">
        <v>21.396785999999999</v>
      </c>
      <c r="I19" s="12">
        <v>21.247868</v>
      </c>
      <c r="J19" s="12">
        <v>21.396785999999999</v>
      </c>
      <c r="K19" s="11">
        <v>17.853836000000001</v>
      </c>
      <c r="L19" s="1">
        <f t="shared" ref="L19:L22" si="5">AVERAGE(B19:K19)</f>
        <v>20.055143600000001</v>
      </c>
      <c r="M19" s="1">
        <f t="shared" ref="M19:M22" si="6">STDEV(B19:K19)</f>
        <v>1.7194655378299777</v>
      </c>
      <c r="N19" s="1">
        <f t="shared" ref="N19:N22" si="7">L19-M19</f>
        <v>18.335678062170022</v>
      </c>
      <c r="O19" s="1">
        <f t="shared" ref="O19:O22" si="8">L19+M19</f>
        <v>21.77460913782998</v>
      </c>
    </row>
    <row r="20" spans="1:15" ht="14.4" x14ac:dyDescent="0.3">
      <c r="A20" s="1" t="s">
        <v>13</v>
      </c>
      <c r="B20" s="11">
        <v>0.48300799999999999</v>
      </c>
      <c r="C20" s="12">
        <v>0.49021799999999999</v>
      </c>
      <c r="D20" s="12">
        <v>0.495006</v>
      </c>
      <c r="E20" s="12">
        <v>0.48300799999999999</v>
      </c>
      <c r="F20" s="12">
        <v>0.49435000000000001</v>
      </c>
      <c r="G20" s="12">
        <v>0.49021500000000001</v>
      </c>
      <c r="H20" s="12">
        <v>0.48988700000000002</v>
      </c>
      <c r="I20" s="12">
        <v>0.464561</v>
      </c>
      <c r="J20" s="12">
        <v>0.48988700000000002</v>
      </c>
      <c r="K20" s="11">
        <v>0.45467299999999999</v>
      </c>
      <c r="L20" s="1">
        <f t="shared" si="5"/>
        <v>0.48348129999999995</v>
      </c>
      <c r="M20" s="1">
        <f t="shared" si="6"/>
        <v>1.3383584904650926E-2</v>
      </c>
      <c r="N20" s="1">
        <f t="shared" si="7"/>
        <v>0.47009771509534903</v>
      </c>
      <c r="O20" s="1">
        <f t="shared" si="8"/>
        <v>0.49686488490465086</v>
      </c>
    </row>
    <row r="21" spans="1:15" ht="13.65" customHeight="1" x14ac:dyDescent="0.3">
      <c r="A21" s="1" t="s">
        <v>14</v>
      </c>
      <c r="B21" s="11">
        <v>3.7918859999999999</v>
      </c>
      <c r="C21" s="12">
        <v>3.8445849999999999</v>
      </c>
      <c r="D21" s="12">
        <v>4.0179049999999998</v>
      </c>
      <c r="E21" s="12">
        <v>3.7918859999999999</v>
      </c>
      <c r="F21" s="12">
        <v>4.1113580000000001</v>
      </c>
      <c r="G21" s="1">
        <v>3.9743819999999999</v>
      </c>
      <c r="H21" s="12">
        <v>3.6998150000000001</v>
      </c>
      <c r="I21" s="12">
        <v>3.623726</v>
      </c>
      <c r="J21" s="12">
        <v>3.6998150000000001</v>
      </c>
      <c r="K21" s="11">
        <v>3.7559629999999999</v>
      </c>
      <c r="L21" s="1">
        <f t="shared" si="5"/>
        <v>3.8311321</v>
      </c>
      <c r="M21" s="1">
        <f t="shared" si="6"/>
        <v>0.15647106360847254</v>
      </c>
      <c r="N21" s="1">
        <f t="shared" si="7"/>
        <v>3.6746610363915275</v>
      </c>
      <c r="O21" s="1">
        <f t="shared" si="8"/>
        <v>3.9876031636084726</v>
      </c>
    </row>
    <row r="22" spans="1:15" ht="14.4" x14ac:dyDescent="0.3">
      <c r="A22" s="1" t="s">
        <v>15</v>
      </c>
      <c r="B22" s="11">
        <v>8.9326000000000003E-2</v>
      </c>
      <c r="C22" s="12">
        <v>0.37135000000000001</v>
      </c>
      <c r="D22" s="12">
        <v>6.6721000000000003E-2</v>
      </c>
      <c r="E22" s="12">
        <v>8.9326000000000003E-2</v>
      </c>
      <c r="F22" s="12">
        <v>5.8782000000000001E-2</v>
      </c>
      <c r="G22" s="1">
        <v>6.8245E-2</v>
      </c>
      <c r="H22" s="12">
        <v>6.5439999999999998E-2</v>
      </c>
      <c r="I22" s="12">
        <v>5.9542999999999999E-2</v>
      </c>
      <c r="J22" s="12">
        <v>6.5439999999999998E-2</v>
      </c>
      <c r="K22" s="11">
        <v>5.2165999999999997E-2</v>
      </c>
      <c r="L22" s="1">
        <f t="shared" si="5"/>
        <v>9.8633900000000024E-2</v>
      </c>
      <c r="M22" s="1">
        <f t="shared" si="6"/>
        <v>9.6591046142946835E-2</v>
      </c>
      <c r="N22" s="1">
        <f t="shared" si="7"/>
        <v>2.0428538570531896E-3</v>
      </c>
      <c r="O22" s="1">
        <f t="shared" si="8"/>
        <v>0.19522494614294686</v>
      </c>
    </row>
    <row r="23" spans="1:15" ht="14.4" x14ac:dyDescent="0.3">
      <c r="A23" s="1" t="s">
        <v>16</v>
      </c>
      <c r="B23" s="11">
        <v>22.12</v>
      </c>
      <c r="C23" s="12">
        <v>21.46</v>
      </c>
      <c r="D23" s="12">
        <v>21.98</v>
      </c>
      <c r="E23" s="12">
        <v>19.86</v>
      </c>
      <c r="F23" s="12">
        <v>18.93</v>
      </c>
      <c r="G23" s="12">
        <v>21.34</v>
      </c>
      <c r="H23" s="12">
        <v>20.36</v>
      </c>
      <c r="I23" s="12">
        <v>20.170000000000002</v>
      </c>
      <c r="J23" s="12">
        <v>23.32</v>
      </c>
      <c r="K23" s="11">
        <v>18.350000000000001</v>
      </c>
      <c r="L23" s="9">
        <f>AVERAGE(B23:K23)</f>
        <v>20.789000000000001</v>
      </c>
      <c r="M23" s="9">
        <f>STDEV(B23:K23)</f>
        <v>1.5342276377527699</v>
      </c>
      <c r="N23" s="9">
        <f>L23-M23</f>
        <v>19.25477236224723</v>
      </c>
      <c r="O23" s="9">
        <f>L23+M23</f>
        <v>22.323227637752773</v>
      </c>
    </row>
    <row r="24" spans="1:15" ht="13.8" x14ac:dyDescent="0.3">
      <c r="A24" s="1" t="s">
        <v>17</v>
      </c>
      <c r="B24" s="11">
        <v>1.1599999999999999</v>
      </c>
      <c r="C24" s="11">
        <v>1.08</v>
      </c>
      <c r="D24" s="11">
        <v>1.1299999999999999</v>
      </c>
      <c r="E24" s="11">
        <v>0.998</v>
      </c>
      <c r="F24" s="11">
        <v>0.998</v>
      </c>
      <c r="G24" s="11">
        <v>1.1499999999999999</v>
      </c>
      <c r="H24" s="11">
        <v>1.17</v>
      </c>
      <c r="I24" s="11">
        <v>1.08</v>
      </c>
      <c r="J24" s="11">
        <v>1.1200000000000001</v>
      </c>
      <c r="K24" s="11">
        <v>1.1299999999999999</v>
      </c>
      <c r="L24" s="9">
        <f t="shared" ref="L24" si="9">AVERAGE(B24:K24)</f>
        <v>1.1015999999999999</v>
      </c>
      <c r="M24" s="9">
        <f t="shared" ref="M24" si="10">STDEV(B24:K24)</f>
        <v>6.216680071477948E-2</v>
      </c>
      <c r="N24" s="9">
        <f>L24-M24</f>
        <v>1.0394331992852204</v>
      </c>
      <c r="O24" s="9">
        <f>L24+M24</f>
        <v>1.1637668007147794</v>
      </c>
    </row>
    <row r="25" spans="1:15" ht="13.8" x14ac:dyDescent="0.3">
      <c r="A25" s="1" t="s">
        <v>18</v>
      </c>
      <c r="B25" s="22">
        <f>ABS((B23-20.36)/20.36)*100</f>
        <v>8.644400785854625</v>
      </c>
      <c r="C25" s="22">
        <f t="shared" ref="C25:K25" si="11">ABS((C23-20.36)/20.36)*100</f>
        <v>5.4027504911591429</v>
      </c>
      <c r="D25" s="22">
        <f t="shared" si="11"/>
        <v>7.9567779960707323</v>
      </c>
      <c r="E25" s="22">
        <f t="shared" si="11"/>
        <v>2.4557956777996073</v>
      </c>
      <c r="F25" s="22">
        <f t="shared" si="11"/>
        <v>7.0235756385068751</v>
      </c>
      <c r="G25" s="22">
        <f t="shared" si="11"/>
        <v>4.8133595284872319</v>
      </c>
      <c r="H25" s="22">
        <f t="shared" si="11"/>
        <v>0</v>
      </c>
      <c r="I25" s="22">
        <f t="shared" si="11"/>
        <v>0.93320235756383951</v>
      </c>
      <c r="J25" s="22">
        <f t="shared" si="11"/>
        <v>14.538310412573679</v>
      </c>
      <c r="K25" s="22">
        <f t="shared" si="11"/>
        <v>9.8722986247544107</v>
      </c>
    </row>
    <row r="26" spans="1:15" ht="13.8" x14ac:dyDescent="0.3"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5" ht="13.8" x14ac:dyDescent="0.3">
      <c r="A27" s="2" t="s">
        <v>21</v>
      </c>
      <c r="B27" s="23" t="s">
        <v>1</v>
      </c>
      <c r="C27" s="23"/>
      <c r="D27" s="23"/>
      <c r="E27" s="23"/>
      <c r="F27" s="23"/>
      <c r="G27" s="23"/>
      <c r="H27" s="23"/>
      <c r="I27" s="23"/>
      <c r="J27" s="23"/>
      <c r="K27" s="23"/>
    </row>
    <row r="28" spans="1:15" ht="13.8" x14ac:dyDescent="0.3">
      <c r="B28" s="23" t="s">
        <v>2</v>
      </c>
      <c r="C28" s="23"/>
      <c r="D28" s="23"/>
      <c r="E28" s="23"/>
      <c r="F28" s="23"/>
      <c r="G28" s="23"/>
      <c r="H28" s="23"/>
      <c r="I28" s="23"/>
      <c r="J28" s="23"/>
      <c r="K28" s="23"/>
    </row>
    <row r="29" spans="1:15" ht="15.75" customHeight="1" x14ac:dyDescent="0.3">
      <c r="A29" s="7" t="s">
        <v>4</v>
      </c>
      <c r="B29" s="7">
        <v>1</v>
      </c>
      <c r="C29" s="7">
        <v>2</v>
      </c>
      <c r="D29" s="20">
        <v>3</v>
      </c>
      <c r="E29" s="7">
        <v>4</v>
      </c>
      <c r="F29" s="7">
        <v>5</v>
      </c>
      <c r="G29" s="7">
        <v>6</v>
      </c>
      <c r="H29" s="14">
        <v>8</v>
      </c>
      <c r="I29" s="7">
        <v>10</v>
      </c>
      <c r="J29" s="21">
        <v>11</v>
      </c>
      <c r="K29" s="7">
        <v>12</v>
      </c>
      <c r="L29" s="7" t="s">
        <v>5</v>
      </c>
      <c r="M29" s="7" t="s">
        <v>6</v>
      </c>
      <c r="N29" s="7" t="s">
        <v>7</v>
      </c>
      <c r="O29" s="7" t="s">
        <v>8</v>
      </c>
    </row>
    <row r="30" spans="1:15" ht="14.4" x14ac:dyDescent="0.3">
      <c r="A30" s="1" t="s">
        <v>10</v>
      </c>
      <c r="B30" s="11">
        <v>1.6092029999999999</v>
      </c>
      <c r="C30" s="12">
        <v>1.4189240000000001</v>
      </c>
      <c r="D30" s="12">
        <v>1.4506110000000001</v>
      </c>
      <c r="E30" s="12">
        <v>1.31911</v>
      </c>
      <c r="F30" s="12">
        <v>1.67822</v>
      </c>
      <c r="G30" s="12">
        <v>1.8886499999999999</v>
      </c>
      <c r="H30" s="12">
        <v>1.8201700000000001</v>
      </c>
      <c r="I30" s="12">
        <v>1.894598</v>
      </c>
      <c r="J30" s="12">
        <v>1.342015</v>
      </c>
      <c r="K30" s="12">
        <v>1.2271510000000001</v>
      </c>
      <c r="L30" s="1">
        <f>AVERAGE(B30:K30)</f>
        <v>1.5648652000000003</v>
      </c>
      <c r="M30" s="1">
        <f>STDEV(B30:K30)</f>
        <v>0.24765961746935219</v>
      </c>
      <c r="N30" s="1">
        <f>L30-M30</f>
        <v>1.3172055825306481</v>
      </c>
      <c r="O30" s="1">
        <f>L30+M30</f>
        <v>1.8125248174693525</v>
      </c>
    </row>
    <row r="31" spans="1:15" ht="14.4" x14ac:dyDescent="0.3">
      <c r="A31" s="1" t="s">
        <v>12</v>
      </c>
      <c r="B31" s="11">
        <v>17.532761000000001</v>
      </c>
      <c r="C31" s="12">
        <v>19.425228000000001</v>
      </c>
      <c r="D31" s="12">
        <v>19.01492</v>
      </c>
      <c r="E31" s="12">
        <v>21.271540000000002</v>
      </c>
      <c r="F31" s="12">
        <v>17.763518999999999</v>
      </c>
      <c r="G31" s="12">
        <v>16.169559</v>
      </c>
      <c r="H31" s="12">
        <v>21.247868</v>
      </c>
      <c r="I31" s="12">
        <v>17.853836000000001</v>
      </c>
      <c r="J31" s="12">
        <v>18.219687</v>
      </c>
      <c r="K31" s="12">
        <v>20.890311000000001</v>
      </c>
      <c r="L31" s="1">
        <f t="shared" ref="L31:L33" si="12">AVERAGE(B31:K31)</f>
        <v>18.938922900000001</v>
      </c>
      <c r="M31" s="1">
        <f t="shared" ref="M31:M34" si="13">STDEV(B31:K31)</f>
        <v>1.7494592696193272</v>
      </c>
      <c r="N31" s="1">
        <f t="shared" ref="N31:N34" si="14">L31-M31</f>
        <v>17.189463630380676</v>
      </c>
      <c r="O31" s="1">
        <f t="shared" ref="O31:O34" si="15">L31+M31</f>
        <v>20.688382169619327</v>
      </c>
    </row>
    <row r="32" spans="1:15" ht="12.75" customHeight="1" x14ac:dyDescent="0.3">
      <c r="A32" s="1" t="s">
        <v>13</v>
      </c>
      <c r="B32" s="11">
        <v>0.49025774999999999</v>
      </c>
      <c r="C32" s="12">
        <v>0.48712899999999998</v>
      </c>
      <c r="D32" s="12">
        <v>0.48671999999999999</v>
      </c>
      <c r="E32" s="12">
        <v>0.48300799999999999</v>
      </c>
      <c r="F32" s="12">
        <v>0.49995400000000001</v>
      </c>
      <c r="G32" s="12">
        <v>0.46723599999999998</v>
      </c>
      <c r="H32" s="12">
        <v>0.464561</v>
      </c>
      <c r="I32" s="12">
        <v>0.45467299999999999</v>
      </c>
      <c r="J32" s="12">
        <v>0.47834940625</v>
      </c>
      <c r="K32" s="12">
        <v>0.49021799999999999</v>
      </c>
      <c r="L32" s="1">
        <f t="shared" si="12"/>
        <v>0.48021061562499989</v>
      </c>
      <c r="M32" s="1">
        <f t="shared" si="13"/>
        <v>1.3975535753495574E-2</v>
      </c>
      <c r="N32" s="1">
        <f t="shared" si="14"/>
        <v>0.46623507987150431</v>
      </c>
      <c r="O32" s="1">
        <f t="shared" si="15"/>
        <v>0.49418615137849548</v>
      </c>
    </row>
    <row r="33" spans="1:15" ht="12.75" customHeight="1" x14ac:dyDescent="0.3">
      <c r="A33" s="1" t="s">
        <v>14</v>
      </c>
      <c r="B33" s="11">
        <v>4.0038600000000004</v>
      </c>
      <c r="C33" s="12">
        <v>4.0332999999999997</v>
      </c>
      <c r="D33" s="12">
        <v>3.9325480000000002</v>
      </c>
      <c r="E33" s="12">
        <v>3.7918859999999999</v>
      </c>
      <c r="F33" s="12">
        <v>4.1098999999999997</v>
      </c>
      <c r="G33" s="12">
        <v>3.9451879999999999</v>
      </c>
      <c r="H33" s="12">
        <v>3.623726</v>
      </c>
      <c r="I33" s="12">
        <v>3.7559629999999999</v>
      </c>
      <c r="J33" s="12">
        <v>3.9688413124999999</v>
      </c>
      <c r="K33" s="12">
        <v>3.8445849999999999</v>
      </c>
      <c r="L33" s="1">
        <f t="shared" si="12"/>
        <v>3.9009797312500005</v>
      </c>
      <c r="M33" s="1">
        <f t="shared" si="13"/>
        <v>0.14616508721590585</v>
      </c>
      <c r="N33" s="1">
        <f t="shared" si="14"/>
        <v>3.7548146440340946</v>
      </c>
      <c r="O33" s="1">
        <f t="shared" si="15"/>
        <v>4.047144818465906</v>
      </c>
    </row>
    <row r="34" spans="1:15" ht="12.75" customHeight="1" x14ac:dyDescent="0.3">
      <c r="A34" s="1" t="s">
        <v>15</v>
      </c>
      <c r="B34" s="11">
        <v>7.0955000000000004E-2</v>
      </c>
      <c r="C34" s="12">
        <v>5.5302999999999998E-2</v>
      </c>
      <c r="D34" s="12">
        <v>3.9317999999999999E-2</v>
      </c>
      <c r="E34" s="12">
        <v>8.9326000000000003E-2</v>
      </c>
      <c r="F34" s="12">
        <v>5.7264000000000002E-2</v>
      </c>
      <c r="G34" s="12">
        <v>8.1873000000000001E-2</v>
      </c>
      <c r="H34" s="12">
        <v>5.9542999999999999E-2</v>
      </c>
      <c r="I34" s="12">
        <v>5.2165999999999997E-2</v>
      </c>
      <c r="J34" s="12">
        <v>0.11350696875000001</v>
      </c>
      <c r="K34" s="12">
        <v>0.37135000000000001</v>
      </c>
      <c r="L34" s="1">
        <f>AVERAGE(B34:K34)</f>
        <v>9.9060496875000001E-2</v>
      </c>
      <c r="M34" s="1">
        <f t="shared" si="13"/>
        <v>9.8048696239048397E-2</v>
      </c>
      <c r="N34" s="1">
        <f t="shared" si="14"/>
        <v>1.0118006359516041E-3</v>
      </c>
      <c r="O34" s="1">
        <f t="shared" si="15"/>
        <v>0.1971091931140484</v>
      </c>
    </row>
    <row r="35" spans="1:15" ht="12.75" customHeight="1" x14ac:dyDescent="0.3">
      <c r="A35" s="1" t="s">
        <v>16</v>
      </c>
      <c r="B35" s="11">
        <v>19</v>
      </c>
      <c r="C35" s="12">
        <v>21.16</v>
      </c>
      <c r="D35" s="12">
        <v>21.65</v>
      </c>
      <c r="E35" s="12">
        <v>20.77</v>
      </c>
      <c r="F35" s="12">
        <v>20.350000000000001</v>
      </c>
      <c r="G35" s="12">
        <v>20.53</v>
      </c>
      <c r="H35" s="12">
        <v>21.13</v>
      </c>
      <c r="I35" s="12">
        <v>19.23</v>
      </c>
      <c r="J35" s="12">
        <v>20.77</v>
      </c>
      <c r="K35" s="12">
        <v>20.75</v>
      </c>
      <c r="L35" s="1">
        <f>AVERAGE(B35:K35)</f>
        <v>20.533999999999999</v>
      </c>
      <c r="M35" s="9">
        <f>STDEV(B35:K35)</f>
        <v>0.83253561819032995</v>
      </c>
      <c r="N35" s="9">
        <f>L35-M35</f>
        <v>19.701464381809668</v>
      </c>
      <c r="O35" s="9">
        <f>L35+M35</f>
        <v>21.36653561819033</v>
      </c>
    </row>
    <row r="36" spans="1:15" ht="12.75" customHeight="1" x14ac:dyDescent="0.3">
      <c r="A36" s="1" t="s">
        <v>17</v>
      </c>
      <c r="B36" s="11">
        <v>1.1200000000000001</v>
      </c>
      <c r="C36" s="11">
        <v>1.02</v>
      </c>
      <c r="D36" s="11">
        <v>1.23</v>
      </c>
      <c r="E36" s="11">
        <v>0.999</v>
      </c>
      <c r="F36" s="11">
        <v>1.1599999999999999</v>
      </c>
      <c r="G36" s="11">
        <v>1.02</v>
      </c>
      <c r="H36" s="11">
        <v>1.17</v>
      </c>
      <c r="I36" s="11">
        <v>1.08</v>
      </c>
      <c r="J36" s="11">
        <v>1.1200000000000001</v>
      </c>
      <c r="K36" s="11">
        <v>1.2</v>
      </c>
      <c r="L36" s="9">
        <f t="shared" ref="L36" si="16">AVERAGE(B36:K36)</f>
        <v>1.1118999999999999</v>
      </c>
      <c r="M36" s="9">
        <f t="shared" ref="M36" si="17">STDEV(B36:K36)</f>
        <v>8.0405154616410526E-2</v>
      </c>
      <c r="N36" s="9">
        <f>L36-M36</f>
        <v>1.0314948453835893</v>
      </c>
      <c r="O36" s="9">
        <f>L36+M36</f>
        <v>1.1923051546164105</v>
      </c>
    </row>
    <row r="37" spans="1:15" ht="12.75" customHeight="1" x14ac:dyDescent="0.3">
      <c r="A37" s="1" t="s">
        <v>18</v>
      </c>
      <c r="B37" s="22">
        <f>ABS((B35-20.36)/20.36)*100</f>
        <v>6.6797642436149287</v>
      </c>
      <c r="C37" s="22">
        <f t="shared" ref="C37:K37" si="18">ABS((C35-20.36)/20.36)*100</f>
        <v>3.9292730844793748</v>
      </c>
      <c r="D37" s="22">
        <f t="shared" si="18"/>
        <v>6.3359528487229824</v>
      </c>
      <c r="E37" s="22">
        <f t="shared" si="18"/>
        <v>2.0137524557956787</v>
      </c>
      <c r="F37" s="22">
        <f t="shared" si="18"/>
        <v>4.9115913555982368E-2</v>
      </c>
      <c r="G37" s="22">
        <f t="shared" si="18"/>
        <v>0.83497053045187475</v>
      </c>
      <c r="H37" s="22">
        <f t="shared" si="18"/>
        <v>3.7819253438113929</v>
      </c>
      <c r="I37" s="22">
        <f t="shared" si="18"/>
        <v>5.550098231827107</v>
      </c>
      <c r="J37" s="22">
        <f t="shared" si="18"/>
        <v>2.0137524557956787</v>
      </c>
      <c r="K37" s="22">
        <f t="shared" si="18"/>
        <v>1.9155206286836965</v>
      </c>
    </row>
    <row r="38" spans="1:15" ht="12.75" customHeight="1" x14ac:dyDescent="0.3">
      <c r="B38" s="10"/>
      <c r="C38" s="10"/>
      <c r="D38" s="10"/>
      <c r="E38" s="10"/>
    </row>
    <row r="39" spans="1:15" ht="13.8" x14ac:dyDescent="0.3"/>
    <row r="40" spans="1:15" ht="12.75" customHeight="1" x14ac:dyDescent="0.3">
      <c r="A40" s="2" t="s">
        <v>22</v>
      </c>
      <c r="B40" s="24" t="s">
        <v>1</v>
      </c>
      <c r="C40" s="23"/>
      <c r="D40" s="23"/>
      <c r="E40" s="23"/>
      <c r="F40" s="23"/>
      <c r="G40" s="23"/>
      <c r="H40" s="23"/>
      <c r="I40" s="23"/>
      <c r="J40" s="23"/>
      <c r="K40" s="23"/>
      <c r="L40" s="7"/>
      <c r="M40" s="7"/>
      <c r="N40" s="7"/>
    </row>
    <row r="41" spans="1:15" ht="13.8" x14ac:dyDescent="0.3">
      <c r="B41" s="24" t="s">
        <v>2</v>
      </c>
      <c r="C41" s="23"/>
      <c r="D41" s="23"/>
      <c r="E41" s="23"/>
      <c r="F41" s="23"/>
      <c r="G41" s="23"/>
      <c r="H41" s="23"/>
      <c r="I41" s="23"/>
      <c r="J41" s="23"/>
      <c r="K41" s="23"/>
      <c r="L41" s="7"/>
      <c r="M41" s="7"/>
      <c r="N41" s="7"/>
    </row>
    <row r="42" spans="1:15" ht="13.8" x14ac:dyDescent="0.3">
      <c r="A42" s="7" t="s">
        <v>4</v>
      </c>
      <c r="B42" s="21">
        <v>1</v>
      </c>
      <c r="C42" s="7">
        <v>2</v>
      </c>
      <c r="D42" s="7">
        <v>4</v>
      </c>
      <c r="E42" s="7">
        <v>5</v>
      </c>
      <c r="F42" s="7">
        <v>6</v>
      </c>
      <c r="G42" s="13">
        <v>7</v>
      </c>
      <c r="H42" s="7">
        <v>8</v>
      </c>
      <c r="I42" s="7">
        <v>9</v>
      </c>
      <c r="J42" s="7">
        <v>10</v>
      </c>
      <c r="K42" s="7">
        <v>11</v>
      </c>
      <c r="L42" s="7" t="s">
        <v>5</v>
      </c>
      <c r="M42" s="7" t="s">
        <v>6</v>
      </c>
      <c r="N42" s="7" t="s">
        <v>7</v>
      </c>
      <c r="O42" s="7" t="s">
        <v>8</v>
      </c>
    </row>
    <row r="43" spans="1:15" ht="14.4" x14ac:dyDescent="0.3">
      <c r="A43" s="1" t="s">
        <v>10</v>
      </c>
      <c r="B43" s="1">
        <v>1.6627000000000001</v>
      </c>
      <c r="C43" s="8">
        <v>1.76986</v>
      </c>
      <c r="D43" s="8">
        <v>1.8186329999999999</v>
      </c>
      <c r="E43" s="8">
        <v>1.7071909999999999</v>
      </c>
      <c r="F43" s="8">
        <v>1.77555</v>
      </c>
      <c r="G43" s="8">
        <v>1.71543</v>
      </c>
      <c r="H43" s="8">
        <v>1.6627000000000001</v>
      </c>
      <c r="I43" s="8">
        <v>1.6627000000000001</v>
      </c>
      <c r="J43" s="8">
        <v>1.7958369999999999</v>
      </c>
      <c r="K43" s="8">
        <v>1.8186329999999999</v>
      </c>
      <c r="L43" s="1">
        <f>AVERAGE(B43:K43)</f>
        <v>1.7389234000000002</v>
      </c>
      <c r="M43" s="1">
        <f>STDEV(B43:K43)</f>
        <v>6.4320279118037227E-2</v>
      </c>
      <c r="N43" s="1">
        <f>L43-M43</f>
        <v>1.6746031208819629</v>
      </c>
      <c r="O43" s="1">
        <f>L43+M43</f>
        <v>1.8032436791180375</v>
      </c>
    </row>
    <row r="44" spans="1:15" ht="12.75" customHeight="1" x14ac:dyDescent="0.3">
      <c r="A44" s="1" t="s">
        <v>12</v>
      </c>
      <c r="B44" s="8">
        <v>8.9596350000000005</v>
      </c>
      <c r="C44" s="8">
        <v>9.9469000000000002E-2</v>
      </c>
      <c r="D44" s="1">
        <v>6.4240149999999998</v>
      </c>
      <c r="E44" s="8">
        <v>9.2750459999999997</v>
      </c>
      <c r="F44" s="8">
        <v>3.9262429999999999</v>
      </c>
      <c r="G44" s="8">
        <v>9.2371420000000004</v>
      </c>
      <c r="H44" s="8">
        <v>8.9596350000000005</v>
      </c>
      <c r="I44" s="8">
        <v>8.9596350000000005</v>
      </c>
      <c r="J44" s="8">
        <v>8.7700910000000007</v>
      </c>
      <c r="K44" s="8">
        <v>6.4240149999999998</v>
      </c>
      <c r="L44" s="1">
        <f t="shared" ref="L44:L46" si="19">AVERAGE(B44:K44)</f>
        <v>7.1034925999999983</v>
      </c>
      <c r="M44" s="1">
        <f t="shared" ref="M44:M47" si="20">STDEV(B44:K44)</f>
        <v>3.0268445104348931</v>
      </c>
      <c r="N44" s="1">
        <f t="shared" ref="N44:N47" si="21">L44-M44</f>
        <v>4.0766480895651052</v>
      </c>
      <c r="O44" s="1">
        <f t="shared" ref="O44:O47" si="22">L44+M44</f>
        <v>10.13033711043489</v>
      </c>
    </row>
    <row r="45" spans="1:15" ht="12.75" customHeight="1" x14ac:dyDescent="0.3">
      <c r="A45" s="1" t="s">
        <v>13</v>
      </c>
      <c r="B45" s="8">
        <v>0.49335000000000001</v>
      </c>
      <c r="C45" s="8">
        <v>0.49307000000000001</v>
      </c>
      <c r="D45" s="1">
        <v>0.45632699999999998</v>
      </c>
      <c r="E45" s="1">
        <v>0.39855499999999999</v>
      </c>
      <c r="F45" s="1">
        <v>0.45551199999999997</v>
      </c>
      <c r="G45" s="1">
        <v>0.4974285</v>
      </c>
      <c r="H45" s="1">
        <v>0.49335000000000001</v>
      </c>
      <c r="I45" s="1">
        <v>0.49335000000000001</v>
      </c>
      <c r="J45" s="1">
        <v>0.46834700000000001</v>
      </c>
      <c r="K45" s="1">
        <v>0.45632699999999998</v>
      </c>
      <c r="L45" s="1">
        <f t="shared" si="19"/>
        <v>0.47056164999999994</v>
      </c>
      <c r="M45" s="1">
        <f t="shared" si="20"/>
        <v>3.0926408961032003E-2</v>
      </c>
      <c r="N45" s="1">
        <f t="shared" si="21"/>
        <v>0.43963524103896795</v>
      </c>
      <c r="O45" s="1">
        <f t="shared" si="22"/>
        <v>0.50148805896103199</v>
      </c>
    </row>
    <row r="46" spans="1:15" ht="12.75" customHeight="1" x14ac:dyDescent="0.3">
      <c r="A46" s="1" t="s">
        <v>14</v>
      </c>
      <c r="B46" s="8">
        <v>4.7770380000000001</v>
      </c>
      <c r="C46" s="8">
        <v>5.912242</v>
      </c>
      <c r="D46" s="8">
        <v>5.5285339999999996</v>
      </c>
      <c r="E46" s="1">
        <v>5.0535139999999998</v>
      </c>
      <c r="F46" s="1">
        <v>5.6560050000000004</v>
      </c>
      <c r="G46" s="1">
        <v>4.9028712499999996</v>
      </c>
      <c r="H46" s="1">
        <v>4.7770380000000001</v>
      </c>
      <c r="I46" s="1">
        <v>4.7770380000000001</v>
      </c>
      <c r="J46" s="1">
        <v>4.6893000000000002</v>
      </c>
      <c r="K46" s="1">
        <v>5.5285339999999996</v>
      </c>
      <c r="L46" s="1">
        <f t="shared" si="19"/>
        <v>5.160211425</v>
      </c>
      <c r="M46" s="1">
        <f t="shared" si="20"/>
        <v>0.45000194944025351</v>
      </c>
      <c r="N46" s="1">
        <f t="shared" si="21"/>
        <v>4.7102094755597461</v>
      </c>
      <c r="O46" s="1">
        <f t="shared" si="22"/>
        <v>5.6102133744402538</v>
      </c>
    </row>
    <row r="47" spans="1:15" ht="12.75" customHeight="1" x14ac:dyDescent="0.3">
      <c r="A47" s="1" t="s">
        <v>15</v>
      </c>
      <c r="B47" s="1">
        <v>0.105915</v>
      </c>
      <c r="C47" s="1">
        <v>1.9358E-2</v>
      </c>
      <c r="D47" s="1">
        <v>4.4677000000000001E-2</v>
      </c>
      <c r="E47" s="1">
        <v>0.111275</v>
      </c>
      <c r="F47" s="1">
        <v>5.3881999999999999E-2</v>
      </c>
      <c r="G47" s="1">
        <v>7.2815749999999999E-2</v>
      </c>
      <c r="H47" s="1">
        <v>0.105915</v>
      </c>
      <c r="I47" s="1">
        <v>0.105915</v>
      </c>
      <c r="J47" s="1">
        <v>8.4720000000000004E-2</v>
      </c>
      <c r="K47" s="1">
        <v>4.4677000000000001E-2</v>
      </c>
      <c r="L47" s="1">
        <f>AVERAGE(B47:K47)</f>
        <v>7.4914974999999995E-2</v>
      </c>
      <c r="M47" s="1">
        <f t="shared" si="20"/>
        <v>3.2767251777678981E-2</v>
      </c>
      <c r="N47" s="1">
        <f t="shared" si="21"/>
        <v>4.2147723222321014E-2</v>
      </c>
      <c r="O47" s="1">
        <f t="shared" si="22"/>
        <v>0.10768222677767897</v>
      </c>
    </row>
    <row r="48" spans="1:15" ht="12.75" customHeight="1" x14ac:dyDescent="0.3">
      <c r="A48" s="1" t="s">
        <v>16</v>
      </c>
      <c r="B48" s="1">
        <v>17.59</v>
      </c>
      <c r="C48" s="1">
        <v>16.53</v>
      </c>
      <c r="D48" s="1">
        <v>13.28</v>
      </c>
      <c r="E48" s="1">
        <v>12.81</v>
      </c>
      <c r="F48" s="1">
        <v>12.71</v>
      </c>
      <c r="G48" s="1">
        <v>15.91</v>
      </c>
      <c r="H48" s="1">
        <v>16.46</v>
      </c>
      <c r="I48" s="1">
        <v>15.04</v>
      </c>
      <c r="J48" s="1">
        <v>14.97</v>
      </c>
      <c r="K48" s="1">
        <v>12.35</v>
      </c>
      <c r="L48" s="1">
        <f>AVERAGE(B48:K48)</f>
        <v>14.765000000000001</v>
      </c>
      <c r="M48" s="9">
        <f>STDEV(B48:K48)</f>
        <v>1.8702361704697341</v>
      </c>
      <c r="N48" s="9">
        <f>L48-M48</f>
        <v>12.894763829530266</v>
      </c>
      <c r="O48" s="9">
        <f>L48+M48</f>
        <v>16.635236170469735</v>
      </c>
    </row>
    <row r="49" spans="1:15" ht="12.75" customHeight="1" x14ac:dyDescent="0.3">
      <c r="A49" s="1" t="s">
        <v>17</v>
      </c>
      <c r="B49" s="9">
        <v>0.88200000000000001</v>
      </c>
      <c r="C49" s="9">
        <v>0.81100000000000005</v>
      </c>
      <c r="D49" s="9">
        <v>0.79200000000000004</v>
      </c>
      <c r="E49" s="9">
        <v>0.81200000000000006</v>
      </c>
      <c r="F49" s="9">
        <v>0.89600000000000002</v>
      </c>
      <c r="G49" s="9">
        <v>0.90200000000000002</v>
      </c>
      <c r="H49" s="9">
        <v>0.80800000000000005</v>
      </c>
      <c r="I49" s="9">
        <v>0.91200000000000003</v>
      </c>
      <c r="J49" s="9">
        <v>0.91</v>
      </c>
      <c r="K49" s="9">
        <v>0.97299999999999998</v>
      </c>
      <c r="L49" s="9">
        <f t="shared" ref="L49" si="23">AVERAGE(B49:K49)</f>
        <v>0.86980000000000002</v>
      </c>
      <c r="M49" s="9">
        <f t="shared" ref="M49" si="24">STDEV(B49:K49)</f>
        <v>6.0175299473011888E-2</v>
      </c>
      <c r="N49" s="9">
        <f>L49-M49</f>
        <v>0.80962470052698809</v>
      </c>
      <c r="O49" s="9">
        <f>L49+M49</f>
        <v>0.92997529947301194</v>
      </c>
    </row>
    <row r="50" spans="1:15" ht="12.75" customHeight="1" x14ac:dyDescent="0.3">
      <c r="A50" s="1" t="s">
        <v>18</v>
      </c>
      <c r="B50" s="22">
        <f t="shared" ref="B50:J50" si="25">ABS((B48-19.62)/19.62)*100</f>
        <v>10.346585117227324</v>
      </c>
      <c r="C50" s="22">
        <f t="shared" si="25"/>
        <v>15.749235474006115</v>
      </c>
      <c r="D50" s="22">
        <f t="shared" si="25"/>
        <v>32.313965341488284</v>
      </c>
      <c r="E50" s="22">
        <f t="shared" si="25"/>
        <v>34.709480122324159</v>
      </c>
      <c r="F50" s="22">
        <f t="shared" si="25"/>
        <v>35.219164118246688</v>
      </c>
      <c r="G50" s="22">
        <f t="shared" si="25"/>
        <v>18.909276248725792</v>
      </c>
      <c r="H50" s="22">
        <f t="shared" si="25"/>
        <v>16.106014271151885</v>
      </c>
      <c r="I50" s="22">
        <f t="shared" si="25"/>
        <v>23.343527013251791</v>
      </c>
      <c r="J50" s="22">
        <f t="shared" si="25"/>
        <v>23.700305810397555</v>
      </c>
      <c r="K50" s="22">
        <f>ABS((K48-19.62)/19.62)*100</f>
        <v>37.054026503567798</v>
      </c>
    </row>
    <row r="51" spans="1:15" ht="13.8" x14ac:dyDescent="0.3"/>
    <row r="52" spans="1:15" ht="12.75" customHeight="1" x14ac:dyDescent="0.3">
      <c r="A52" s="2" t="s">
        <v>23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7"/>
      <c r="M52" s="7"/>
      <c r="N52" s="7"/>
    </row>
    <row r="53" spans="1:15" ht="13.8" x14ac:dyDescent="0.3">
      <c r="B53" s="23" t="s">
        <v>2</v>
      </c>
      <c r="C53" s="23"/>
      <c r="D53" s="23"/>
      <c r="E53" s="23"/>
      <c r="F53" s="23"/>
      <c r="G53" s="23"/>
      <c r="H53" s="23"/>
      <c r="I53" s="23"/>
      <c r="J53" s="23"/>
      <c r="K53" s="23"/>
      <c r="L53" s="7"/>
      <c r="M53" s="7"/>
      <c r="N53" s="7"/>
    </row>
    <row r="54" spans="1:15" ht="13.8" x14ac:dyDescent="0.3">
      <c r="A54" s="7" t="s">
        <v>4</v>
      </c>
      <c r="B54" s="7">
        <v>1</v>
      </c>
      <c r="C54" s="7">
        <v>2</v>
      </c>
      <c r="D54" s="7">
        <v>3</v>
      </c>
      <c r="E54" s="7">
        <v>4</v>
      </c>
      <c r="F54" s="7">
        <v>5</v>
      </c>
      <c r="G54" s="7">
        <v>6</v>
      </c>
      <c r="H54" s="7">
        <v>7</v>
      </c>
      <c r="I54" s="7">
        <v>8</v>
      </c>
      <c r="J54" s="7">
        <v>9</v>
      </c>
      <c r="K54" s="21">
        <v>10</v>
      </c>
      <c r="L54" s="7" t="s">
        <v>5</v>
      </c>
      <c r="M54" s="7" t="s">
        <v>6</v>
      </c>
      <c r="N54" s="7" t="s">
        <v>7</v>
      </c>
      <c r="O54" s="7" t="s">
        <v>8</v>
      </c>
    </row>
    <row r="55" spans="1:15" ht="14.4" x14ac:dyDescent="0.3">
      <c r="A55" s="1" t="s">
        <v>10</v>
      </c>
      <c r="B55" s="11">
        <v>1.6627000000000001</v>
      </c>
      <c r="C55" s="12">
        <v>1.76986</v>
      </c>
      <c r="D55" s="12">
        <v>1.7680439999999999</v>
      </c>
      <c r="E55" s="12">
        <v>1.8186329999999999</v>
      </c>
      <c r="F55" s="12">
        <v>1.597135</v>
      </c>
      <c r="G55" s="12">
        <v>1.77555</v>
      </c>
      <c r="H55" s="12">
        <v>1.856077</v>
      </c>
      <c r="I55" s="12">
        <v>1.6627000000000001</v>
      </c>
      <c r="J55" s="12">
        <v>1.6627000000000001</v>
      </c>
      <c r="K55" s="11">
        <v>1.7958369999999999</v>
      </c>
      <c r="L55" s="1">
        <f>AVERAGE(B55:K55)</f>
        <v>1.7369236000000001</v>
      </c>
      <c r="M55" s="1">
        <f>STDEV(B55:K55)</f>
        <v>8.4299936126507991E-2</v>
      </c>
      <c r="N55" s="1">
        <f>L55-M55</f>
        <v>1.6526236638734921</v>
      </c>
      <c r="O55" s="1">
        <f>L55+M55</f>
        <v>1.8212235361265081</v>
      </c>
    </row>
    <row r="56" spans="1:15" ht="12.75" customHeight="1" x14ac:dyDescent="0.3">
      <c r="A56" s="1" t="s">
        <v>12</v>
      </c>
      <c r="B56" s="11">
        <v>8.9596350000000005</v>
      </c>
      <c r="C56" s="12">
        <v>9.9469000000000002E-2</v>
      </c>
      <c r="D56" s="12">
        <v>17.213097000000001</v>
      </c>
      <c r="E56" s="12">
        <v>6.4240149999999998</v>
      </c>
      <c r="F56" s="12">
        <v>11.598254000000001</v>
      </c>
      <c r="G56" s="12">
        <v>3.9262429999999999</v>
      </c>
      <c r="H56" s="12">
        <v>2.4588030000000001</v>
      </c>
      <c r="I56" s="12">
        <v>8.9596350000000005</v>
      </c>
      <c r="J56" s="12">
        <v>8.9596350000000005</v>
      </c>
      <c r="K56" s="11">
        <v>8.7700910000000007</v>
      </c>
      <c r="L56" s="1">
        <f t="shared" ref="L56:L59" si="26">AVERAGE(B56:K56)</f>
        <v>7.7368876999999996</v>
      </c>
      <c r="M56" s="1">
        <f t="shared" ref="M56:M59" si="27">STDEV(B56:K56)</f>
        <v>4.8613501164664168</v>
      </c>
      <c r="N56" s="1">
        <f t="shared" ref="N56:N59" si="28">L56-M56</f>
        <v>2.8755375835335828</v>
      </c>
      <c r="O56" s="1">
        <f t="shared" ref="O56:O59" si="29">L56+M56</f>
        <v>12.598237816466415</v>
      </c>
    </row>
    <row r="57" spans="1:15" ht="12.75" customHeight="1" x14ac:dyDescent="0.3">
      <c r="A57" s="1" t="s">
        <v>13</v>
      </c>
      <c r="B57" s="11">
        <v>0.49335000000000001</v>
      </c>
      <c r="C57" s="12">
        <v>0.49307000000000001</v>
      </c>
      <c r="D57" s="12">
        <v>0.47983399999999998</v>
      </c>
      <c r="E57" s="12">
        <v>0.45632699999999998</v>
      </c>
      <c r="F57" s="12">
        <v>0.4660705</v>
      </c>
      <c r="G57" s="12">
        <v>0.45551199999999997</v>
      </c>
      <c r="H57" s="12">
        <v>0.48112100000000002</v>
      </c>
      <c r="I57" s="12">
        <v>0.49335000000000001</v>
      </c>
      <c r="J57" s="12">
        <v>0.49335000000000001</v>
      </c>
      <c r="K57" s="11">
        <v>0.46834700000000001</v>
      </c>
      <c r="L57" s="1">
        <f t="shared" si="26"/>
        <v>0.47803315000000002</v>
      </c>
      <c r="M57" s="1">
        <f t="shared" si="27"/>
        <v>1.5484716694660229E-2</v>
      </c>
      <c r="N57" s="1">
        <f t="shared" si="28"/>
        <v>0.46254843330533979</v>
      </c>
      <c r="O57" s="1">
        <f t="shared" si="29"/>
        <v>0.49351786669466025</v>
      </c>
    </row>
    <row r="58" spans="1:15" ht="12.75" customHeight="1" x14ac:dyDescent="0.3">
      <c r="A58" s="1" t="s">
        <v>14</v>
      </c>
      <c r="B58" s="11">
        <v>4.7770380000000001</v>
      </c>
      <c r="C58" s="12">
        <v>5.912242</v>
      </c>
      <c r="D58" s="12">
        <v>3.981077</v>
      </c>
      <c r="E58" s="12">
        <v>5.5285339999999996</v>
      </c>
      <c r="F58" s="12">
        <v>4.4455210000000003</v>
      </c>
      <c r="G58" s="12">
        <v>5.6560050000000004</v>
      </c>
      <c r="H58" s="12">
        <v>5.5279879999999997</v>
      </c>
      <c r="I58" s="12">
        <v>4.7770380000000001</v>
      </c>
      <c r="J58" s="12">
        <v>4.7770380000000001</v>
      </c>
      <c r="K58" s="11">
        <v>4.6893000000000002</v>
      </c>
      <c r="L58" s="1">
        <f t="shared" si="26"/>
        <v>5.0071780999999991</v>
      </c>
      <c r="M58" s="1">
        <f t="shared" si="27"/>
        <v>0.61567072588401917</v>
      </c>
      <c r="N58" s="1">
        <f t="shared" si="28"/>
        <v>4.3915073741159798</v>
      </c>
      <c r="O58" s="1">
        <f t="shared" si="29"/>
        <v>5.6228488258840184</v>
      </c>
    </row>
    <row r="59" spans="1:15" ht="12.75" customHeight="1" x14ac:dyDescent="0.3">
      <c r="A59" s="1" t="s">
        <v>15</v>
      </c>
      <c r="B59" s="11">
        <v>0.105915</v>
      </c>
      <c r="C59" s="12">
        <v>9.2967999999999995E-2</v>
      </c>
      <c r="D59" s="12">
        <v>1.9358E-2</v>
      </c>
      <c r="E59" s="12">
        <v>4.4677000000000001E-2</v>
      </c>
      <c r="F59" s="12">
        <v>0.1448835</v>
      </c>
      <c r="G59" s="1">
        <v>5.3881999999999999E-2</v>
      </c>
      <c r="H59" s="12">
        <v>6.1519999999999998E-2</v>
      </c>
      <c r="I59" s="12">
        <v>0.105915</v>
      </c>
      <c r="J59" s="12">
        <v>0.105915</v>
      </c>
      <c r="K59" s="11">
        <v>8.4720000000000004E-2</v>
      </c>
      <c r="L59" s="1">
        <f t="shared" si="26"/>
        <v>8.1975349999999989E-2</v>
      </c>
      <c r="M59" s="1">
        <f t="shared" si="27"/>
        <v>3.700583199086481E-2</v>
      </c>
      <c r="N59" s="1">
        <f t="shared" si="28"/>
        <v>4.4969518009135179E-2</v>
      </c>
      <c r="O59" s="1">
        <f t="shared" si="29"/>
        <v>0.1189811819908648</v>
      </c>
    </row>
    <row r="60" spans="1:15" ht="12.75" customHeight="1" x14ac:dyDescent="0.3">
      <c r="A60" s="1" t="s">
        <v>16</v>
      </c>
      <c r="B60" s="1">
        <v>17.87</v>
      </c>
      <c r="C60" s="1">
        <v>16.8</v>
      </c>
      <c r="D60" s="1">
        <v>15.32</v>
      </c>
      <c r="E60" s="1">
        <v>13.49</v>
      </c>
      <c r="F60" s="1">
        <v>15.02</v>
      </c>
      <c r="G60" s="1">
        <v>12.91</v>
      </c>
      <c r="H60" s="1">
        <v>14.33</v>
      </c>
      <c r="I60" s="1">
        <v>16.72</v>
      </c>
      <c r="J60" s="1">
        <v>15.28</v>
      </c>
      <c r="K60" s="1">
        <v>19.61</v>
      </c>
      <c r="L60" s="9">
        <f>AVERAGE(B60:K60)</f>
        <v>15.734999999999996</v>
      </c>
      <c r="M60" s="9">
        <f>STDEV(B60:K60)</f>
        <v>2.0429676127307501</v>
      </c>
      <c r="N60" s="9">
        <f>L60-M60</f>
        <v>13.692032387269245</v>
      </c>
      <c r="O60" s="9">
        <f>L60+M60</f>
        <v>17.777967612730745</v>
      </c>
    </row>
    <row r="61" spans="1:15" ht="12.75" customHeight="1" x14ac:dyDescent="0.3">
      <c r="A61" s="1" t="s">
        <v>17</v>
      </c>
      <c r="B61" s="11">
        <v>0.88200000000000001</v>
      </c>
      <c r="C61" s="11">
        <v>0.81200000000000006</v>
      </c>
      <c r="D61" s="11">
        <v>0.84099999999999997</v>
      </c>
      <c r="E61" s="11">
        <v>0.79200000000000004</v>
      </c>
      <c r="F61" s="11">
        <v>0.90800000000000003</v>
      </c>
      <c r="G61" s="11">
        <v>0.89700000000000002</v>
      </c>
      <c r="H61" s="11">
        <v>0.79</v>
      </c>
      <c r="I61" s="11">
        <v>0.80800000000000005</v>
      </c>
      <c r="J61" s="11">
        <v>0.91200000000000003</v>
      </c>
      <c r="K61" s="11">
        <v>0.91</v>
      </c>
      <c r="L61" s="9">
        <f t="shared" ref="L61" si="30">AVERAGE(B61:K61)</f>
        <v>0.85519999999999996</v>
      </c>
      <c r="M61" s="9">
        <f t="shared" ref="M61" si="31">STDEV(B61:K61)</f>
        <v>5.166516126839138E-2</v>
      </c>
      <c r="N61" s="9">
        <f>L61-M61</f>
        <v>0.80353483873160858</v>
      </c>
      <c r="O61" s="9">
        <f>L61+M61</f>
        <v>0.90686516126839134</v>
      </c>
    </row>
    <row r="62" spans="1:15" ht="12.75" customHeight="1" x14ac:dyDescent="0.3">
      <c r="A62" s="1" t="s">
        <v>18</v>
      </c>
      <c r="B62" s="22">
        <f t="shared" ref="B62:J62" si="32">ABS((B60-19.62)/19.62)*100</f>
        <v>8.91946992864424</v>
      </c>
      <c r="C62" s="22">
        <f t="shared" si="32"/>
        <v>14.373088685015292</v>
      </c>
      <c r="D62" s="22">
        <f t="shared" si="32"/>
        <v>21.916411824668707</v>
      </c>
      <c r="E62" s="22">
        <f t="shared" si="32"/>
        <v>31.243628950050972</v>
      </c>
      <c r="F62" s="22">
        <f t="shared" si="32"/>
        <v>23.445463812436294</v>
      </c>
      <c r="G62" s="22">
        <f t="shared" si="32"/>
        <v>34.19979612640163</v>
      </c>
      <c r="H62" s="22">
        <f t="shared" si="32"/>
        <v>26.962283384301738</v>
      </c>
      <c r="I62" s="22">
        <f t="shared" si="32"/>
        <v>14.780835881753324</v>
      </c>
      <c r="J62" s="22">
        <f t="shared" si="32"/>
        <v>22.120285423037725</v>
      </c>
      <c r="K62" s="22">
        <f>ABS((K60-19.62)/19.62)*100</f>
        <v>5.0968399592260766E-2</v>
      </c>
    </row>
    <row r="63" spans="1:15" ht="13.8" x14ac:dyDescent="0.3"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5" ht="13.8" x14ac:dyDescent="0.3">
      <c r="A64" s="2" t="s">
        <v>24</v>
      </c>
      <c r="B64" s="23" t="s">
        <v>1</v>
      </c>
      <c r="C64" s="23"/>
      <c r="D64" s="23"/>
      <c r="E64" s="23"/>
      <c r="F64" s="23"/>
      <c r="G64" s="23"/>
      <c r="H64" s="23"/>
      <c r="I64" s="23"/>
      <c r="J64" s="23"/>
      <c r="K64" s="23"/>
    </row>
    <row r="65" spans="1:18" ht="13.8" x14ac:dyDescent="0.3">
      <c r="B65" s="23" t="s">
        <v>2</v>
      </c>
      <c r="C65" s="23"/>
      <c r="D65" s="23"/>
      <c r="E65" s="23"/>
      <c r="F65" s="23"/>
      <c r="G65" s="23"/>
      <c r="H65" s="23"/>
      <c r="I65" s="23"/>
      <c r="J65" s="23"/>
      <c r="K65" s="23"/>
    </row>
    <row r="66" spans="1:18" ht="13.8" x14ac:dyDescent="0.3">
      <c r="A66" s="7" t="s">
        <v>4</v>
      </c>
      <c r="B66" s="7">
        <v>1</v>
      </c>
      <c r="C66" s="7">
        <v>2</v>
      </c>
      <c r="D66" s="7">
        <v>3</v>
      </c>
      <c r="E66" s="20">
        <v>4</v>
      </c>
      <c r="F66" s="7">
        <v>5</v>
      </c>
      <c r="G66" s="7">
        <v>6</v>
      </c>
      <c r="H66" s="20">
        <v>8</v>
      </c>
      <c r="I66" s="7">
        <v>9</v>
      </c>
      <c r="J66" s="21">
        <v>10</v>
      </c>
      <c r="K66" s="7">
        <v>11</v>
      </c>
      <c r="L66" s="7" t="s">
        <v>5</v>
      </c>
      <c r="M66" s="7" t="s">
        <v>6</v>
      </c>
      <c r="N66" s="7" t="s">
        <v>7</v>
      </c>
      <c r="O66" s="7" t="s">
        <v>8</v>
      </c>
    </row>
    <row r="67" spans="1:18" ht="14.4" x14ac:dyDescent="0.3">
      <c r="A67" s="1" t="s">
        <v>10</v>
      </c>
      <c r="B67" s="11">
        <v>1.9130879999999999</v>
      </c>
      <c r="C67" s="12">
        <v>1.6627000000000001</v>
      </c>
      <c r="D67" s="12">
        <v>1.7680439999999999</v>
      </c>
      <c r="E67" s="12">
        <v>1.8186329999999999</v>
      </c>
      <c r="F67" s="12">
        <v>1.7680439999999999</v>
      </c>
      <c r="G67" s="12">
        <v>1.8850899999999999</v>
      </c>
      <c r="H67" s="12">
        <v>1.472985</v>
      </c>
      <c r="I67" s="12">
        <v>1.9130879999999999</v>
      </c>
      <c r="J67" s="12">
        <v>1.7958369999999999</v>
      </c>
      <c r="K67" s="12">
        <v>1.8186329999999999</v>
      </c>
      <c r="L67" s="1">
        <f>AVERAGE(B67:K67)</f>
        <v>1.7816141999999999</v>
      </c>
      <c r="M67" s="1">
        <f>STDEV(B67:K67)</f>
        <v>0.13248979131138114</v>
      </c>
      <c r="N67" s="1">
        <f t="shared" ref="N67:N73" si="33">L67-M67</f>
        <v>1.6491244086886188</v>
      </c>
      <c r="O67" s="1">
        <f t="shared" ref="O67:O73" si="34">L67+M67</f>
        <v>1.9141039913113811</v>
      </c>
    </row>
    <row r="68" spans="1:18" ht="12.75" customHeight="1" x14ac:dyDescent="0.3">
      <c r="A68" s="1" t="s">
        <v>12</v>
      </c>
      <c r="B68" s="11">
        <v>5.2867160000000002</v>
      </c>
      <c r="C68" s="12">
        <v>8.9596350000000005</v>
      </c>
      <c r="D68" s="12">
        <v>17.213097000000001</v>
      </c>
      <c r="E68" s="12">
        <v>6.4240149999999998</v>
      </c>
      <c r="F68" s="12">
        <v>17.213097000000001</v>
      </c>
      <c r="G68" s="12">
        <v>15.024469</v>
      </c>
      <c r="H68" s="12">
        <v>19.251607</v>
      </c>
      <c r="I68" s="12">
        <v>5.2867160000000002</v>
      </c>
      <c r="J68" s="12">
        <v>8.7700910000000007</v>
      </c>
      <c r="K68" s="12">
        <v>6.4240149999999998</v>
      </c>
      <c r="L68" s="1">
        <f t="shared" ref="L68:L70" si="35">AVERAGE(B68:K68)</f>
        <v>10.985345799999999</v>
      </c>
      <c r="M68" s="1">
        <f t="shared" ref="M68:M71" si="36">STDEV(B68:K68)</f>
        <v>5.5556423678267013</v>
      </c>
      <c r="N68" s="1">
        <f t="shared" si="33"/>
        <v>5.429703432173298</v>
      </c>
      <c r="O68" s="1">
        <f t="shared" si="34"/>
        <v>16.540988167826701</v>
      </c>
    </row>
    <row r="69" spans="1:18" ht="12.75" customHeight="1" x14ac:dyDescent="0.3">
      <c r="A69" s="1" t="s">
        <v>13</v>
      </c>
      <c r="B69" s="11">
        <v>0.47093299999999999</v>
      </c>
      <c r="C69" s="12">
        <v>0.49335000000000001</v>
      </c>
      <c r="D69" s="12">
        <v>0.47983399999999998</v>
      </c>
      <c r="E69" s="12">
        <v>0.45632699999999998</v>
      </c>
      <c r="F69" s="12">
        <v>0.47983399999999998</v>
      </c>
      <c r="G69" s="12">
        <v>0.51423099999999999</v>
      </c>
      <c r="H69" s="12">
        <v>0.49021500000000001</v>
      </c>
      <c r="I69" s="12">
        <v>0.47093299999999999</v>
      </c>
      <c r="J69" s="12">
        <v>0.46834700000000001</v>
      </c>
      <c r="K69" s="12">
        <v>0.45632699999999998</v>
      </c>
      <c r="L69" s="1">
        <f t="shared" si="35"/>
        <v>0.47803309999999993</v>
      </c>
      <c r="M69" s="1">
        <f t="shared" si="36"/>
        <v>1.7753664682412917E-2</v>
      </c>
      <c r="N69" s="1">
        <f t="shared" si="33"/>
        <v>0.46027943531758703</v>
      </c>
      <c r="O69" s="1">
        <f t="shared" si="34"/>
        <v>0.49578676468241284</v>
      </c>
      <c r="R69" s="22"/>
    </row>
    <row r="70" spans="1:18" ht="12.75" customHeight="1" x14ac:dyDescent="0.3">
      <c r="A70" s="1" t="s">
        <v>14</v>
      </c>
      <c r="B70" s="11">
        <v>5.6641700000000004</v>
      </c>
      <c r="C70" s="12">
        <v>4.7770380000000001</v>
      </c>
      <c r="D70" s="12">
        <v>3.981077</v>
      </c>
      <c r="E70" s="12">
        <v>5.5285339999999996</v>
      </c>
      <c r="F70" s="12">
        <v>3.981077</v>
      </c>
      <c r="G70" s="12">
        <v>4.4699169999999997</v>
      </c>
      <c r="H70" s="12">
        <v>3.9743824375000001</v>
      </c>
      <c r="I70" s="12">
        <v>5.6641700000000004</v>
      </c>
      <c r="J70" s="12">
        <v>4.6893000000000002</v>
      </c>
      <c r="K70" s="12">
        <v>5.5285339999999996</v>
      </c>
      <c r="L70" s="1">
        <f t="shared" si="35"/>
        <v>4.82581994375</v>
      </c>
      <c r="M70" s="1">
        <f t="shared" si="36"/>
        <v>0.72211780439812778</v>
      </c>
      <c r="N70" s="1">
        <f t="shared" si="33"/>
        <v>4.1037021393518724</v>
      </c>
      <c r="O70" s="1">
        <f t="shared" si="34"/>
        <v>5.5479377481481276</v>
      </c>
    </row>
    <row r="71" spans="1:18" ht="12.75" customHeight="1" x14ac:dyDescent="0.3">
      <c r="A71" s="1" t="s">
        <v>15</v>
      </c>
      <c r="B71" s="11">
        <v>9.3410000000000007E-2</v>
      </c>
      <c r="C71" s="12">
        <v>0.105915</v>
      </c>
      <c r="D71" s="12">
        <v>1.9358E-2</v>
      </c>
      <c r="E71" s="12">
        <v>4.4677000000000001E-2</v>
      </c>
      <c r="F71" s="12">
        <v>1.9358E-2</v>
      </c>
      <c r="G71" s="12">
        <v>2.8417999999999999E-2</v>
      </c>
      <c r="H71" s="12">
        <v>6.8245437500000006E-2</v>
      </c>
      <c r="I71" s="12">
        <v>9.3410000000000007E-2</v>
      </c>
      <c r="J71" s="12">
        <v>8.4720000000000004E-2</v>
      </c>
      <c r="K71" s="12">
        <v>4.4677000000000001E-2</v>
      </c>
      <c r="L71" s="1">
        <f>AVERAGE(B71:K71)</f>
        <v>6.0218843749999994E-2</v>
      </c>
      <c r="M71" s="1">
        <f t="shared" si="36"/>
        <v>3.2981115554034643E-2</v>
      </c>
      <c r="N71" s="1">
        <f t="shared" si="33"/>
        <v>2.7237728195965351E-2</v>
      </c>
      <c r="O71" s="1">
        <f t="shared" si="34"/>
        <v>9.319995930403463E-2</v>
      </c>
    </row>
    <row r="72" spans="1:18" ht="12.75" customHeight="1" x14ac:dyDescent="0.3">
      <c r="A72" s="1" t="s">
        <v>16</v>
      </c>
      <c r="B72" s="11">
        <v>18.760000000000002</v>
      </c>
      <c r="C72" s="12">
        <v>21.2</v>
      </c>
      <c r="D72" s="12">
        <v>21.1</v>
      </c>
      <c r="E72" s="12">
        <v>18.73</v>
      </c>
      <c r="F72" s="12">
        <v>22.12</v>
      </c>
      <c r="G72" s="12">
        <v>25.64</v>
      </c>
      <c r="H72" s="12">
        <v>23.67</v>
      </c>
      <c r="I72" s="12">
        <v>18.38</v>
      </c>
      <c r="J72" s="12">
        <v>19.54</v>
      </c>
      <c r="K72" s="12">
        <v>24.71</v>
      </c>
      <c r="L72" s="1">
        <f>AVERAGE(B72:K72)</f>
        <v>21.385000000000002</v>
      </c>
      <c r="M72" s="9">
        <f>STDEV(B72:K72)</f>
        <v>2.6121776781494468</v>
      </c>
      <c r="N72" s="9">
        <f t="shared" si="33"/>
        <v>18.772822321850555</v>
      </c>
      <c r="O72" s="9">
        <f t="shared" si="34"/>
        <v>23.997177678149448</v>
      </c>
    </row>
    <row r="73" spans="1:18" ht="13.8" x14ac:dyDescent="0.3">
      <c r="A73" s="1" t="s">
        <v>17</v>
      </c>
      <c r="B73" s="11">
        <v>0.91700000000000004</v>
      </c>
      <c r="C73" s="11">
        <v>1.08</v>
      </c>
      <c r="D73" s="11">
        <v>0.84</v>
      </c>
      <c r="E73" s="11">
        <v>0.78800000000000003</v>
      </c>
      <c r="F73" s="11">
        <v>1.05</v>
      </c>
      <c r="G73" s="11">
        <v>0.94199999999999995</v>
      </c>
      <c r="H73" s="11">
        <v>0.92</v>
      </c>
      <c r="I73" s="11">
        <v>0.72</v>
      </c>
      <c r="J73" s="11">
        <v>0.91400000000000003</v>
      </c>
      <c r="K73" s="11">
        <v>0.97799999999999998</v>
      </c>
      <c r="L73" s="9">
        <f>AVERAGE(B73:K73)</f>
        <v>0.91489999999999994</v>
      </c>
      <c r="M73" s="9">
        <f t="shared" ref="M73" si="37">STDEV(B73:K73)</f>
        <v>0.1105324989916249</v>
      </c>
      <c r="N73" s="9">
        <f t="shared" si="33"/>
        <v>0.80436750100837506</v>
      </c>
      <c r="O73" s="9">
        <f t="shared" si="34"/>
        <v>1.0254324989916248</v>
      </c>
    </row>
    <row r="74" spans="1:18" ht="12.75" customHeight="1" x14ac:dyDescent="0.3">
      <c r="A74" s="1" t="s">
        <v>18</v>
      </c>
      <c r="B74" s="22">
        <f t="shared" ref="B74:J74" si="38">ABS((B72-19.62)/19.62)*100</f>
        <v>4.3832823649337378</v>
      </c>
      <c r="C74" s="22">
        <f t="shared" si="38"/>
        <v>8.0530071355759336</v>
      </c>
      <c r="D74" s="22">
        <f t="shared" si="38"/>
        <v>7.5433231396534168</v>
      </c>
      <c r="E74" s="22">
        <f t="shared" si="38"/>
        <v>4.5361875637105022</v>
      </c>
      <c r="F74" s="22">
        <f t="shared" si="38"/>
        <v>12.7420998980632</v>
      </c>
      <c r="G74" s="22">
        <f t="shared" si="38"/>
        <v>30.682976554536186</v>
      </c>
      <c r="H74" s="22">
        <f t="shared" si="38"/>
        <v>20.642201834862391</v>
      </c>
      <c r="I74" s="22">
        <f t="shared" si="38"/>
        <v>6.3200815494393572</v>
      </c>
      <c r="J74" s="22">
        <f t="shared" si="38"/>
        <v>0.40774719673803184</v>
      </c>
      <c r="K74" s="22">
        <f>ABS((K72-19.62)/19.62)*100</f>
        <v>25.942915392456673</v>
      </c>
    </row>
    <row r="75" spans="1:18" ht="13.8" x14ac:dyDescent="0.3"/>
    <row r="76" spans="1:18" ht="12.75" customHeight="1" x14ac:dyDescent="0.3">
      <c r="A76" s="15"/>
    </row>
    <row r="77" spans="1:18" ht="13.8" x14ac:dyDescent="0.3"/>
    <row r="78" spans="1:18" ht="13.8" x14ac:dyDescent="0.3">
      <c r="A78" s="2" t="s">
        <v>0</v>
      </c>
      <c r="B78" s="23" t="s">
        <v>25</v>
      </c>
      <c r="C78" s="23"/>
      <c r="D78" s="23"/>
      <c r="E78" s="23"/>
      <c r="F78" s="23"/>
      <c r="G78" s="23"/>
      <c r="H78" s="23"/>
      <c r="I78" s="23"/>
      <c r="J78" s="23"/>
      <c r="K78" s="23"/>
      <c r="Q78" s="1" t="s">
        <v>26</v>
      </c>
      <c r="R78" s="1" t="s">
        <v>27</v>
      </c>
    </row>
    <row r="79" spans="1:18" ht="13.8" x14ac:dyDescent="0.3">
      <c r="B79" s="23" t="s">
        <v>2</v>
      </c>
      <c r="C79" s="23"/>
      <c r="D79" s="23"/>
      <c r="E79" s="23"/>
      <c r="F79" s="23"/>
      <c r="G79" s="23"/>
      <c r="H79" s="23"/>
      <c r="I79" s="23"/>
      <c r="J79" s="23"/>
      <c r="K79" s="23"/>
      <c r="Q79" s="22">
        <f>AVERAGE(J74,K62,B50,J37,E25,G13)</f>
        <v>3.1679430462347162</v>
      </c>
      <c r="R79" s="22">
        <f>AVERAGE(J74,K62,J37,E25,G13)</f>
        <v>1.7322146320361944</v>
      </c>
    </row>
    <row r="80" spans="1:18" ht="12.75" customHeight="1" x14ac:dyDescent="0.3">
      <c r="A80" s="7" t="s">
        <v>4</v>
      </c>
      <c r="B80" s="7">
        <v>1</v>
      </c>
      <c r="C80" s="7">
        <v>2</v>
      </c>
      <c r="D80" s="7">
        <v>3</v>
      </c>
      <c r="E80" s="21">
        <v>4</v>
      </c>
      <c r="F80" s="7">
        <v>5</v>
      </c>
      <c r="G80" s="7">
        <v>6</v>
      </c>
      <c r="H80" s="7">
        <v>7</v>
      </c>
      <c r="I80" s="7">
        <v>8</v>
      </c>
      <c r="J80" s="7">
        <v>9</v>
      </c>
      <c r="K80" s="7">
        <v>10</v>
      </c>
      <c r="L80" s="7" t="s">
        <v>5</v>
      </c>
      <c r="M80" s="7" t="s">
        <v>6</v>
      </c>
      <c r="N80" s="7" t="s">
        <v>7</v>
      </c>
      <c r="O80" s="7" t="s">
        <v>8</v>
      </c>
      <c r="Q80" s="1" t="s">
        <v>28</v>
      </c>
    </row>
    <row r="81" spans="1:18" ht="12.75" customHeight="1" x14ac:dyDescent="0.3">
      <c r="A81" s="1" t="s">
        <v>10</v>
      </c>
      <c r="B81" s="11">
        <v>1.2369129999999999</v>
      </c>
      <c r="C81" s="12">
        <v>1.8201700000000001</v>
      </c>
      <c r="D81" s="12">
        <v>1.6442209999999999</v>
      </c>
      <c r="E81" s="12">
        <v>1.76183</v>
      </c>
      <c r="F81" s="12">
        <v>1.4606110000000001</v>
      </c>
      <c r="G81" s="12"/>
      <c r="H81" s="12"/>
      <c r="I81" s="12"/>
      <c r="J81" s="12"/>
      <c r="K81" s="12"/>
      <c r="L81" s="1">
        <f>AVERAGE(B81:K81)</f>
        <v>1.584749</v>
      </c>
      <c r="M81" s="1">
        <f>STDEV(B81:K81)</f>
        <v>0.2380744487161533</v>
      </c>
      <c r="N81" s="1">
        <f>L81-M81</f>
        <v>1.3466745512838467</v>
      </c>
      <c r="O81" s="1">
        <f>L81+M81</f>
        <v>1.8228234487161532</v>
      </c>
      <c r="Q81" s="1">
        <f>ABS((Q79-'BAD - Sensitivity analysis New'!Q28)/'Final Sensitivity Analysis'!Q79)*100</f>
        <v>321.96827019067871</v>
      </c>
      <c r="R81" s="1">
        <f>ABS((R79-'BAD - Sensitivity analysis New'!R28)/'Final Sensitivity Analysis'!R79)*100</f>
        <v>517.55891993132423</v>
      </c>
    </row>
    <row r="82" spans="1:18" ht="12.75" customHeight="1" x14ac:dyDescent="0.3">
      <c r="A82" s="1" t="s">
        <v>12</v>
      </c>
      <c r="B82" s="11">
        <v>1.7242170000000001</v>
      </c>
      <c r="C82" s="12">
        <v>21.247868</v>
      </c>
      <c r="D82" s="12">
        <v>16.249154000000001</v>
      </c>
      <c r="E82" s="12">
        <v>16.841774000000001</v>
      </c>
      <c r="F82" s="12">
        <v>19.01492</v>
      </c>
      <c r="G82" s="12"/>
      <c r="H82" s="12"/>
      <c r="I82" s="12"/>
      <c r="J82" s="12"/>
      <c r="K82" s="12"/>
      <c r="L82" s="1">
        <f t="shared" ref="L82:L84" si="39">AVERAGE(B82:K82)</f>
        <v>15.015586600000001</v>
      </c>
      <c r="M82" s="1">
        <f t="shared" ref="M82:M85" si="40">STDEV(B82:K82)</f>
        <v>7.6868906894661793</v>
      </c>
      <c r="N82" s="1">
        <f t="shared" ref="N82:N85" si="41">L82-M82</f>
        <v>7.3286959105338214</v>
      </c>
      <c r="O82" s="1">
        <f t="shared" ref="O82:O85" si="42">L82+M82</f>
        <v>22.702477289466181</v>
      </c>
    </row>
    <row r="83" spans="1:18" ht="12.75" customHeight="1" x14ac:dyDescent="0.3">
      <c r="A83" s="1" t="s">
        <v>13</v>
      </c>
      <c r="B83" s="11">
        <v>0.58129275000000002</v>
      </c>
      <c r="C83" s="12">
        <v>0.464561</v>
      </c>
      <c r="D83" s="12">
        <v>0.47354499999999999</v>
      </c>
      <c r="E83" s="12">
        <v>0.51485999999999998</v>
      </c>
      <c r="F83" s="12">
        <v>0.48671999999999999</v>
      </c>
      <c r="G83" s="12"/>
      <c r="H83" s="12"/>
      <c r="I83" s="12"/>
      <c r="J83" s="12"/>
      <c r="K83" s="12"/>
      <c r="L83" s="1">
        <f t="shared" si="39"/>
        <v>0.50419575000000005</v>
      </c>
      <c r="M83" s="1">
        <f t="shared" si="40"/>
        <v>4.7099515279485638E-2</v>
      </c>
      <c r="N83" s="1">
        <f t="shared" si="41"/>
        <v>0.45709623472051442</v>
      </c>
      <c r="O83" s="1">
        <f t="shared" si="42"/>
        <v>0.55129526527948569</v>
      </c>
    </row>
    <row r="84" spans="1:18" ht="12.75" customHeight="1" x14ac:dyDescent="0.3">
      <c r="A84" s="1" t="s">
        <v>14</v>
      </c>
      <c r="B84" s="11">
        <v>2.9866500000000001E-2</v>
      </c>
      <c r="C84" s="12">
        <v>3.623726</v>
      </c>
      <c r="D84" s="12">
        <v>4.0484369999999998</v>
      </c>
      <c r="E84" s="12">
        <v>4.4216879999999996</v>
      </c>
      <c r="F84" s="12">
        <v>3.9325480000000002</v>
      </c>
      <c r="G84" s="12"/>
      <c r="H84" s="12"/>
      <c r="I84" s="12"/>
      <c r="J84" s="12"/>
      <c r="K84" s="12"/>
      <c r="L84" s="1">
        <f t="shared" si="39"/>
        <v>3.2112530999999995</v>
      </c>
      <c r="M84" s="1">
        <f t="shared" si="40"/>
        <v>1.8012253089367525</v>
      </c>
      <c r="N84" s="1">
        <f t="shared" si="41"/>
        <v>1.410027791063247</v>
      </c>
      <c r="O84" s="1">
        <f t="shared" si="42"/>
        <v>5.0124784089367518</v>
      </c>
    </row>
    <row r="85" spans="1:18" ht="12.75" customHeight="1" x14ac:dyDescent="0.3">
      <c r="A85" s="1" t="s">
        <v>15</v>
      </c>
      <c r="B85" s="11">
        <v>2.9866500000000001E-2</v>
      </c>
      <c r="C85" s="12">
        <v>5.9542999999999999E-2</v>
      </c>
      <c r="D85" s="12">
        <v>9.0188000000000004E-2</v>
      </c>
      <c r="E85" s="12">
        <v>4.5727999999999998E-2</v>
      </c>
      <c r="F85" s="12">
        <v>3.9317999999999999E-2</v>
      </c>
      <c r="G85" s="12"/>
      <c r="H85" s="12"/>
      <c r="I85" s="12"/>
      <c r="J85" s="12"/>
      <c r="K85" s="12"/>
      <c r="L85" s="1">
        <f>AVERAGE(B85:K85)</f>
        <v>5.2928700000000009E-2</v>
      </c>
      <c r="M85" s="1">
        <f t="shared" si="40"/>
        <v>2.3457252102494868E-2</v>
      </c>
      <c r="N85" s="1">
        <f t="shared" si="41"/>
        <v>2.9471447897505141E-2</v>
      </c>
      <c r="O85" s="1">
        <f t="shared" si="42"/>
        <v>7.6385952102494881E-2</v>
      </c>
    </row>
    <row r="86" spans="1:18" ht="12.75" customHeight="1" x14ac:dyDescent="0.3">
      <c r="A86" s="1" t="s">
        <v>16</v>
      </c>
      <c r="B86" s="11">
        <v>22.09</v>
      </c>
      <c r="C86" s="12">
        <v>21.99</v>
      </c>
      <c r="D86" s="12">
        <v>16.600000000000001</v>
      </c>
      <c r="E86" s="12">
        <v>20.29</v>
      </c>
      <c r="F86" s="12">
        <v>17.21</v>
      </c>
      <c r="G86" s="12"/>
      <c r="H86" s="12"/>
      <c r="I86" s="12"/>
      <c r="J86" s="12"/>
      <c r="K86" s="12"/>
      <c r="L86" s="1">
        <f>AVERAGE(B86:K86)</f>
        <v>19.636000000000003</v>
      </c>
      <c r="M86" s="9">
        <f>STDEV(B86:K86)</f>
        <v>2.6025910166601185</v>
      </c>
      <c r="N86" s="9">
        <f>L86-M86</f>
        <v>17.033408983339886</v>
      </c>
      <c r="O86" s="9">
        <f>L86+M86</f>
        <v>22.23859101666012</v>
      </c>
    </row>
    <row r="87" spans="1:18" ht="12.75" customHeight="1" x14ac:dyDescent="0.3">
      <c r="A87" s="1" t="s">
        <v>17</v>
      </c>
      <c r="B87" s="11">
        <v>1.1499999999999999</v>
      </c>
      <c r="C87" s="11">
        <v>1.1399999999999999</v>
      </c>
      <c r="D87" s="11">
        <v>1.24</v>
      </c>
      <c r="E87" s="11">
        <v>1.1599999999999999</v>
      </c>
      <c r="F87" s="11">
        <v>1.24</v>
      </c>
      <c r="G87" s="11"/>
      <c r="H87" s="11"/>
      <c r="I87" s="11"/>
      <c r="J87" s="11"/>
      <c r="K87" s="11"/>
      <c r="L87" s="9">
        <f t="shared" ref="L87" si="43">AVERAGE(B87:K87)</f>
        <v>1.1860000000000002</v>
      </c>
      <c r="M87" s="9">
        <f t="shared" ref="M87" si="44">STDEV(B87:K87)</f>
        <v>4.9799598391954976E-2</v>
      </c>
      <c r="N87" s="9">
        <f>L87-M87</f>
        <v>1.1362004016080451</v>
      </c>
      <c r="O87" s="9">
        <f>L87+M87</f>
        <v>1.2357995983919552</v>
      </c>
    </row>
    <row r="88" spans="1:18" ht="13.8" x14ac:dyDescent="0.3">
      <c r="A88" s="1" t="s">
        <v>18</v>
      </c>
      <c r="B88" s="22">
        <f>ABS((B86-20.36)/20.36)*100</f>
        <v>8.4970530451866431</v>
      </c>
      <c r="C88" s="22">
        <f t="shared" ref="C88:F88" si="45">ABS((C86-20.36)/20.36)*100</f>
        <v>8.0058939096267139</v>
      </c>
      <c r="D88" s="22">
        <f t="shared" si="45"/>
        <v>18.467583497053035</v>
      </c>
      <c r="E88" s="22">
        <f t="shared" si="45"/>
        <v>0.3438113948919464</v>
      </c>
      <c r="F88" s="22">
        <f t="shared" si="45"/>
        <v>15.471512770137519</v>
      </c>
    </row>
    <row r="90" spans="1:18" ht="13.8" x14ac:dyDescent="0.3">
      <c r="A90" s="2" t="s">
        <v>24</v>
      </c>
      <c r="B90" s="23" t="s">
        <v>25</v>
      </c>
      <c r="C90" s="23"/>
      <c r="D90" s="23"/>
      <c r="E90" s="23"/>
      <c r="F90" s="23"/>
      <c r="G90" s="23"/>
      <c r="H90" s="23"/>
      <c r="I90" s="23"/>
      <c r="J90" s="23"/>
      <c r="K90" s="23"/>
    </row>
    <row r="91" spans="1:18" ht="13.8" x14ac:dyDescent="0.3">
      <c r="B91" s="23" t="s">
        <v>2</v>
      </c>
      <c r="C91" s="23"/>
      <c r="D91" s="23"/>
      <c r="E91" s="23"/>
      <c r="F91" s="23"/>
      <c r="G91" s="23"/>
      <c r="H91" s="23"/>
      <c r="I91" s="23"/>
      <c r="J91" s="23"/>
      <c r="K91" s="23"/>
    </row>
    <row r="92" spans="1:18" ht="13.8" x14ac:dyDescent="0.3">
      <c r="A92" s="7" t="s">
        <v>4</v>
      </c>
      <c r="B92" s="7">
        <v>1</v>
      </c>
      <c r="C92" s="7">
        <v>2</v>
      </c>
      <c r="D92" s="7">
        <v>3</v>
      </c>
      <c r="E92" s="21">
        <v>4</v>
      </c>
      <c r="F92" s="7">
        <v>5</v>
      </c>
      <c r="G92" s="7">
        <v>7</v>
      </c>
      <c r="H92" s="7">
        <v>8</v>
      </c>
      <c r="I92" s="7">
        <v>9</v>
      </c>
      <c r="J92" s="7">
        <v>11</v>
      </c>
      <c r="K92" s="7">
        <v>12</v>
      </c>
      <c r="L92" s="7" t="s">
        <v>5</v>
      </c>
      <c r="M92" s="7" t="s">
        <v>6</v>
      </c>
      <c r="N92" s="7" t="s">
        <v>7</v>
      </c>
      <c r="O92" s="7" t="s">
        <v>8</v>
      </c>
    </row>
    <row r="93" spans="1:18" ht="12.75" customHeight="1" x14ac:dyDescent="0.3">
      <c r="A93" s="1" t="s">
        <v>10</v>
      </c>
      <c r="B93" s="11">
        <v>1.894598</v>
      </c>
      <c r="C93" s="12">
        <v>1.894598</v>
      </c>
      <c r="D93" s="12">
        <v>1.4147510000000001</v>
      </c>
      <c r="E93" s="12">
        <v>1.8186329999999999</v>
      </c>
      <c r="F93" s="12">
        <v>1.8535269999999999</v>
      </c>
      <c r="G93" s="12"/>
      <c r="H93" s="12"/>
      <c r="I93" s="12"/>
      <c r="J93" s="12"/>
      <c r="K93" s="12"/>
      <c r="L93" s="1">
        <f>AVERAGE(B93:K93)</f>
        <v>1.7752214000000002</v>
      </c>
      <c r="M93" s="1">
        <f>STDEV(B93:K93)</f>
        <v>0.2039955811636594</v>
      </c>
      <c r="N93" s="1">
        <f>L93-M93</f>
        <v>1.5712258188363408</v>
      </c>
      <c r="O93" s="1">
        <f>L93+M93</f>
        <v>1.9792169811636595</v>
      </c>
    </row>
    <row r="94" spans="1:18" ht="12.75" customHeight="1" x14ac:dyDescent="0.3">
      <c r="A94" s="1" t="s">
        <v>12</v>
      </c>
      <c r="B94" s="11">
        <v>17.853836000000001</v>
      </c>
      <c r="C94" s="12">
        <v>17.853836000000001</v>
      </c>
      <c r="D94" s="12">
        <v>7.4425189999999999</v>
      </c>
      <c r="E94" s="12">
        <v>6.4240149999999998</v>
      </c>
      <c r="F94" s="12">
        <v>3.736659</v>
      </c>
      <c r="G94" s="12"/>
      <c r="H94" s="12"/>
      <c r="I94" s="12"/>
      <c r="J94" s="12"/>
      <c r="K94" s="12"/>
      <c r="L94" s="1">
        <f t="shared" ref="L94:L96" si="46">AVERAGE(B94:K94)</f>
        <v>10.662172999999999</v>
      </c>
      <c r="M94" s="1">
        <f t="shared" ref="M94:M97" si="47">STDEV(B94:K94)</f>
        <v>6.7031882840931383</v>
      </c>
      <c r="N94" s="1">
        <f t="shared" ref="N94:N97" si="48">L94-M94</f>
        <v>3.958984715906861</v>
      </c>
      <c r="O94" s="1">
        <f t="shared" ref="O94:O97" si="49">L94+M94</f>
        <v>17.365361284093137</v>
      </c>
    </row>
    <row r="95" spans="1:18" ht="12.75" customHeight="1" x14ac:dyDescent="0.3">
      <c r="A95" s="1" t="s">
        <v>13</v>
      </c>
      <c r="B95" s="11">
        <v>0.45467299999999999</v>
      </c>
      <c r="C95" s="12">
        <v>0.45467299999999999</v>
      </c>
      <c r="D95" s="12">
        <v>0.49433100000000002</v>
      </c>
      <c r="E95" s="12">
        <v>0.45632699999999998</v>
      </c>
      <c r="F95" s="12">
        <v>0.50156999999999996</v>
      </c>
      <c r="G95" s="12"/>
      <c r="H95" s="12"/>
      <c r="I95" s="12"/>
      <c r="J95" s="12"/>
      <c r="K95" s="12"/>
      <c r="L95" s="1">
        <f t="shared" si="46"/>
        <v>0.47231480000000003</v>
      </c>
      <c r="M95" s="1">
        <f t="shared" si="47"/>
        <v>2.3551304384258634E-2</v>
      </c>
      <c r="N95" s="1">
        <f t="shared" si="48"/>
        <v>0.44876349561574141</v>
      </c>
      <c r="O95" s="1">
        <f t="shared" si="49"/>
        <v>0.49586610438425865</v>
      </c>
    </row>
    <row r="96" spans="1:18" ht="12.75" customHeight="1" x14ac:dyDescent="0.3">
      <c r="A96" s="1" t="s">
        <v>14</v>
      </c>
      <c r="B96" s="11">
        <v>3.7559629999999999</v>
      </c>
      <c r="C96" s="12">
        <v>3.7559629999999999</v>
      </c>
      <c r="D96" s="12">
        <v>4.9406829999999999</v>
      </c>
      <c r="E96" s="12">
        <v>5.5285339999999996</v>
      </c>
      <c r="F96" s="12">
        <v>5.5443709999999999</v>
      </c>
      <c r="G96" s="12"/>
      <c r="H96" s="12"/>
      <c r="I96" s="12"/>
      <c r="J96" s="12"/>
      <c r="K96" s="12"/>
      <c r="L96" s="1">
        <f t="shared" si="46"/>
        <v>4.7051028000000006</v>
      </c>
      <c r="M96" s="1">
        <f t="shared" si="47"/>
        <v>0.89995011017066329</v>
      </c>
      <c r="N96" s="1">
        <f t="shared" si="48"/>
        <v>3.8051526898293373</v>
      </c>
      <c r="O96" s="1">
        <f t="shared" si="49"/>
        <v>5.6050529101706639</v>
      </c>
    </row>
    <row r="97" spans="1:15" ht="12.75" customHeight="1" x14ac:dyDescent="0.3">
      <c r="A97" s="1" t="s">
        <v>15</v>
      </c>
      <c r="B97" s="11">
        <v>5.2165999999999997E-2</v>
      </c>
      <c r="C97" s="12">
        <v>5.2165999999999997E-2</v>
      </c>
      <c r="D97" s="12">
        <v>1.6809000000000001E-2</v>
      </c>
      <c r="E97" s="12">
        <v>4.4677000000000001E-2</v>
      </c>
      <c r="F97" s="12">
        <v>2.7595999999999999E-2</v>
      </c>
      <c r="G97" s="12"/>
      <c r="H97" s="12"/>
      <c r="I97" s="12"/>
      <c r="J97" s="12"/>
      <c r="K97" s="12"/>
      <c r="L97" s="1">
        <f>AVERAGE(B97:K97)</f>
        <v>3.8682800000000003E-2</v>
      </c>
      <c r="M97" s="1">
        <f t="shared" si="47"/>
        <v>1.5818533898563403E-2</v>
      </c>
      <c r="N97" s="1">
        <f t="shared" si="48"/>
        <v>2.28642661014366E-2</v>
      </c>
      <c r="O97" s="1">
        <f t="shared" si="49"/>
        <v>5.4501333898563403E-2</v>
      </c>
    </row>
    <row r="98" spans="1:15" ht="12.75" customHeight="1" x14ac:dyDescent="0.3">
      <c r="A98" s="1" t="s">
        <v>16</v>
      </c>
      <c r="B98" s="11">
        <v>14.62</v>
      </c>
      <c r="C98" s="12">
        <v>15.85</v>
      </c>
      <c r="D98" s="12">
        <v>13.33</v>
      </c>
      <c r="E98" s="12">
        <v>13.49</v>
      </c>
      <c r="F98" s="12">
        <v>14.66</v>
      </c>
      <c r="G98" s="12"/>
      <c r="H98" s="12"/>
      <c r="I98" s="12"/>
      <c r="J98" s="12"/>
      <c r="K98" s="12"/>
      <c r="L98" s="1">
        <f>AVERAGE(B98:K98)</f>
        <v>14.39</v>
      </c>
      <c r="M98" s="9">
        <f>STDEV(B98:K98)</f>
        <v>1.0235966002288204</v>
      </c>
      <c r="N98" s="9">
        <f>L98-M98</f>
        <v>13.36640339977118</v>
      </c>
      <c r="O98" s="9">
        <f>L98+M98</f>
        <v>15.413596600228821</v>
      </c>
    </row>
    <row r="99" spans="1:15" ht="12.75" customHeight="1" x14ac:dyDescent="0.3">
      <c r="A99" s="1" t="s">
        <v>17</v>
      </c>
      <c r="B99" s="11">
        <v>0.96399999999999997</v>
      </c>
      <c r="C99" s="11">
        <v>1.03</v>
      </c>
      <c r="D99" s="11">
        <v>0.90300000000000002</v>
      </c>
      <c r="E99" s="11">
        <v>0.79200000000000004</v>
      </c>
      <c r="F99" s="11">
        <v>0.9</v>
      </c>
      <c r="G99" s="11"/>
      <c r="H99" s="11"/>
      <c r="I99" s="11"/>
      <c r="J99" s="11"/>
      <c r="K99" s="11"/>
      <c r="L99" s="9">
        <f t="shared" ref="L99" si="50">AVERAGE(B99:K99)</f>
        <v>0.91780000000000006</v>
      </c>
      <c r="M99" s="9">
        <f t="shared" ref="M99" si="51">STDEV(B99:K99)</f>
        <v>8.8154409986114693E-2</v>
      </c>
      <c r="N99" s="9">
        <f>L99-M99</f>
        <v>0.82964559001388538</v>
      </c>
      <c r="O99" s="9">
        <f>L99+M99</f>
        <v>1.0059544099861149</v>
      </c>
    </row>
    <row r="100" spans="1:15" ht="13.8" x14ac:dyDescent="0.3">
      <c r="A100" s="1" t="s">
        <v>18</v>
      </c>
      <c r="B100" s="22">
        <f>ABS((B98-19.62)/19.62)*100</f>
        <v>25.484199796126411</v>
      </c>
      <c r="C100" s="22">
        <f t="shared" ref="C100:F100" si="52">ABS((C98-19.62)/19.62)*100</f>
        <v>19.215086646279314</v>
      </c>
      <c r="D100" s="22">
        <f t="shared" si="52"/>
        <v>32.05912334352702</v>
      </c>
      <c r="E100" s="22">
        <f t="shared" si="52"/>
        <v>31.243628950050972</v>
      </c>
      <c r="F100" s="22">
        <f t="shared" si="52"/>
        <v>25.28032619775739</v>
      </c>
    </row>
    <row r="102" spans="1:15" ht="13.8" x14ac:dyDescent="0.3"/>
    <row r="103" spans="1:15" ht="13.95" customHeight="1" x14ac:dyDescent="0.3"/>
    <row r="104" spans="1:15" ht="13.8" x14ac:dyDescent="0.3"/>
    <row r="105" spans="1:15" ht="13.8" x14ac:dyDescent="0.3"/>
    <row r="106" spans="1:15" ht="13.8" x14ac:dyDescent="0.3"/>
    <row r="107" spans="1:15" ht="13.8" x14ac:dyDescent="0.3"/>
    <row r="108" spans="1:15" ht="13.8" x14ac:dyDescent="0.3"/>
    <row r="109" spans="1:15" ht="13.8" x14ac:dyDescent="0.3"/>
    <row r="110" spans="1:15" ht="13.8" x14ac:dyDescent="0.3"/>
    <row r="112" spans="1:15" ht="13.8" x14ac:dyDescent="0.3"/>
    <row r="114" ht="13.8" x14ac:dyDescent="0.3"/>
    <row r="115" ht="13.8" x14ac:dyDescent="0.3"/>
    <row r="116" ht="13.8" x14ac:dyDescent="0.3"/>
    <row r="124" ht="13.8" x14ac:dyDescent="0.3"/>
    <row r="126" ht="13.8" x14ac:dyDescent="0.3"/>
    <row r="127" ht="13.8" x14ac:dyDescent="0.3"/>
    <row r="128" ht="13.8" x14ac:dyDescent="0.3"/>
    <row r="134" ht="13.8" x14ac:dyDescent="0.3"/>
    <row r="136" ht="13.8" x14ac:dyDescent="0.3"/>
  </sheetData>
  <mergeCells count="16">
    <mergeCell ref="B78:K78"/>
    <mergeCell ref="B79:K79"/>
    <mergeCell ref="B90:K90"/>
    <mergeCell ref="B91:K91"/>
    <mergeCell ref="B40:K40"/>
    <mergeCell ref="B41:K41"/>
    <mergeCell ref="B52:K52"/>
    <mergeCell ref="B53:K53"/>
    <mergeCell ref="B64:K64"/>
    <mergeCell ref="B65:K65"/>
    <mergeCell ref="B28:K28"/>
    <mergeCell ref="B3:K3"/>
    <mergeCell ref="B4:K4"/>
    <mergeCell ref="B15:K15"/>
    <mergeCell ref="B16:K16"/>
    <mergeCell ref="B27:K27"/>
  </mergeCells>
  <conditionalFormatting sqref="B25 E25 G25:H25 J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9 G49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:F21 H21:K21">
    <cfRule type="cellIs" dxfId="147" priority="79" operator="between">
      <formula>$N$21</formula>
      <formula>$O$21</formula>
    </cfRule>
  </conditionalFormatting>
  <conditionalFormatting sqref="B6:K6">
    <cfRule type="cellIs" dxfId="146" priority="87" operator="between">
      <formula>$N$6</formula>
      <formula>$O$6</formula>
    </cfRule>
  </conditionalFormatting>
  <conditionalFormatting sqref="B7:K7">
    <cfRule type="cellIs" dxfId="145" priority="86" operator="between">
      <formula>$N$7</formula>
      <formula>$O$7</formula>
    </cfRule>
  </conditionalFormatting>
  <conditionalFormatting sqref="B8:K8 L37:N37">
    <cfRule type="cellIs" dxfId="144" priority="85" operator="between">
      <formula>$N$8</formula>
      <formula>$O$8</formula>
    </cfRule>
  </conditionalFormatting>
  <conditionalFormatting sqref="B9:K9 B38:N38">
    <cfRule type="cellIs" dxfId="143" priority="84" operator="between">
      <formula>$N$9</formula>
      <formula>$O$9</formula>
    </cfRule>
  </conditionalFormatting>
  <conditionalFormatting sqref="B10:K10">
    <cfRule type="cellIs" dxfId="142" priority="83" operator="between">
      <formula>$N$10</formula>
      <formula>$O$10</formula>
    </cfRule>
  </conditionalFormatting>
  <conditionalFormatting sqref="B11:K11">
    <cfRule type="cellIs" dxfId="141" priority="77" operator="between">
      <formula>18.62</formula>
      <formula>20.62</formula>
    </cfRule>
  </conditionalFormatting>
  <conditionalFormatting sqref="B18:K18">
    <cfRule type="cellIs" dxfId="140" priority="82" operator="between">
      <formula>$N$18</formula>
      <formula>$O$18</formula>
    </cfRule>
  </conditionalFormatting>
  <conditionalFormatting sqref="B19:K19">
    <cfRule type="cellIs" dxfId="139" priority="81" operator="between">
      <formula>$N$19</formula>
      <formula>$O$19</formula>
    </cfRule>
  </conditionalFormatting>
  <conditionalFormatting sqref="B20:K20">
    <cfRule type="cellIs" dxfId="138" priority="80" operator="between">
      <formula>$N$20</formula>
      <formula>$O$20</formula>
    </cfRule>
  </conditionalFormatting>
  <conditionalFormatting sqref="B22:K22">
    <cfRule type="cellIs" dxfId="137" priority="78" operator="between">
      <formula>$N$22</formula>
      <formula>$O$22</formula>
    </cfRule>
  </conditionalFormatting>
  <conditionalFormatting sqref="B23:K23">
    <cfRule type="cellIs" dxfId="136" priority="70" operator="between">
      <formula>18.62</formula>
      <formula>20.62</formula>
    </cfRule>
  </conditionalFormatting>
  <conditionalFormatting sqref="B30:K30">
    <cfRule type="cellIs" dxfId="135" priority="75" operator="between">
      <formula>$N$30</formula>
      <formula>$O$30</formula>
    </cfRule>
  </conditionalFormatting>
  <conditionalFormatting sqref="B32:K32">
    <cfRule type="cellIs" dxfId="134" priority="73" operator="between">
      <formula>$N$32</formula>
      <formula>$O$32</formula>
    </cfRule>
  </conditionalFormatting>
  <conditionalFormatting sqref="B33:K33">
    <cfRule type="cellIs" dxfId="133" priority="72" operator="between">
      <formula>$N$33</formula>
      <formula>$O$33</formula>
    </cfRule>
  </conditionalFormatting>
  <conditionalFormatting sqref="B34:K34">
    <cfRule type="cellIs" dxfId="132" priority="71" operator="between">
      <formula>$N$34</formula>
      <formula>$O$34</formula>
    </cfRule>
  </conditionalFormatting>
  <conditionalFormatting sqref="B35:K35">
    <cfRule type="cellIs" dxfId="131" priority="76" operator="between">
      <formula>18.62</formula>
      <formula>20.62</formula>
    </cfRule>
  </conditionalFormatting>
  <conditionalFormatting sqref="B43:K43">
    <cfRule type="cellIs" dxfId="130" priority="88" operator="between">
      <formula>$N$43</formula>
      <formula>$O$43</formula>
    </cfRule>
  </conditionalFormatting>
  <conditionalFormatting sqref="B44:K44">
    <cfRule type="cellIs" dxfId="129" priority="92" operator="between">
      <formula>$N$44</formula>
      <formula>$O$44</formula>
    </cfRule>
  </conditionalFormatting>
  <conditionalFormatting sqref="B45:K45">
    <cfRule type="cellIs" dxfId="128" priority="89" operator="between">
      <formula>$N$45</formula>
      <formula>$O$45</formula>
    </cfRule>
  </conditionalFormatting>
  <conditionalFormatting sqref="B46:K46">
    <cfRule type="cellIs" dxfId="127" priority="90" operator="between">
      <formula>$N$46</formula>
      <formula>$O$46</formula>
    </cfRule>
  </conditionalFormatting>
  <conditionalFormatting sqref="B47:K47">
    <cfRule type="cellIs" dxfId="126" priority="91" operator="between">
      <formula>$N$47</formula>
      <formula>$O$47</formula>
    </cfRule>
  </conditionalFormatting>
  <conditionalFormatting sqref="B48:K48">
    <cfRule type="cellIs" dxfId="125" priority="65" operator="between">
      <formula>19.36</formula>
      <formula>20.36</formula>
    </cfRule>
  </conditionalFormatting>
  <conditionalFormatting sqref="B55:K55">
    <cfRule type="cellIs" dxfId="124" priority="69" operator="between">
      <formula>$N$55</formula>
      <formula>$O$55</formula>
    </cfRule>
  </conditionalFormatting>
  <conditionalFormatting sqref="B56:K56">
    <cfRule type="cellIs" dxfId="123" priority="64" operator="between">
      <formula>$N$56</formula>
      <formula>$O$56</formula>
    </cfRule>
  </conditionalFormatting>
  <conditionalFormatting sqref="B57:K57">
    <cfRule type="cellIs" dxfId="122" priority="63" operator="between">
      <formula>$N$57</formula>
      <formula>$O$57</formula>
    </cfRule>
  </conditionalFormatting>
  <conditionalFormatting sqref="B58:K58">
    <cfRule type="cellIs" dxfId="121" priority="62" operator="between">
      <formula>$N$58</formula>
      <formula>$O$58</formula>
    </cfRule>
  </conditionalFormatting>
  <conditionalFormatting sqref="B59:K59">
    <cfRule type="cellIs" dxfId="120" priority="61" operator="between">
      <formula>$N$59</formula>
      <formula>$O$59</formula>
    </cfRule>
  </conditionalFormatting>
  <conditionalFormatting sqref="B60:K60">
    <cfRule type="cellIs" dxfId="119" priority="60" operator="between">
      <formula>19.36</formula>
      <formula>21.36</formula>
    </cfRule>
  </conditionalFormatting>
  <conditionalFormatting sqref="B62:K6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7:K67">
    <cfRule type="cellIs" dxfId="118" priority="59" operator="between">
      <formula>$N$67</formula>
      <formula>$O$67</formula>
    </cfRule>
  </conditionalFormatting>
  <conditionalFormatting sqref="B68:K68">
    <cfRule type="cellIs" dxfId="117" priority="58" operator="between">
      <formula>$N$68</formula>
      <formula>$O$68</formula>
    </cfRule>
  </conditionalFormatting>
  <conditionalFormatting sqref="B69:K69">
    <cfRule type="cellIs" dxfId="116" priority="57" operator="between">
      <formula>$N$69</formula>
      <formula>$O$69</formula>
    </cfRule>
  </conditionalFormatting>
  <conditionalFormatting sqref="B70:K70">
    <cfRule type="cellIs" dxfId="115" priority="67" operator="between">
      <formula>$N$70</formula>
      <formula>$O$70</formula>
    </cfRule>
  </conditionalFormatting>
  <conditionalFormatting sqref="B71:K71">
    <cfRule type="cellIs" dxfId="114" priority="66" operator="between">
      <formula>$N$71</formula>
      <formula>$O$71</formula>
    </cfRule>
  </conditionalFormatting>
  <conditionalFormatting sqref="B72:K72">
    <cfRule type="cellIs" dxfId="113" priority="68" operator="between">
      <formula>19.36</formula>
      <formula>21.36</formula>
    </cfRule>
  </conditionalFormatting>
  <conditionalFormatting sqref="B81:K81">
    <cfRule type="cellIs" dxfId="112" priority="44" operator="between">
      <formula>$N$81</formula>
      <formula>$O$81</formula>
    </cfRule>
  </conditionalFormatting>
  <conditionalFormatting sqref="B82:K82">
    <cfRule type="cellIs" dxfId="111" priority="43" operator="between">
      <formula>$N$82</formula>
      <formula>$O$82</formula>
    </cfRule>
  </conditionalFormatting>
  <conditionalFormatting sqref="B83:K83">
    <cfRule type="cellIs" dxfId="110" priority="53" operator="between">
      <formula>$N$83</formula>
      <formula>$O$83</formula>
    </cfRule>
  </conditionalFormatting>
  <conditionalFormatting sqref="B84:K84">
    <cfRule type="cellIs" dxfId="109" priority="52" operator="between">
      <formula>$N$84</formula>
      <formula>$O$84</formula>
    </cfRule>
  </conditionalFormatting>
  <conditionalFormatting sqref="B85:K85">
    <cfRule type="cellIs" dxfId="108" priority="51" operator="between">
      <formula>$N$85</formula>
      <formula>$O$85</formula>
    </cfRule>
  </conditionalFormatting>
  <conditionalFormatting sqref="B86:K86">
    <cfRule type="cellIs" dxfId="107" priority="56" operator="between">
      <formula>18.62</formula>
      <formula>20.62</formula>
    </cfRule>
  </conditionalFormatting>
  <conditionalFormatting sqref="B93:K93">
    <cfRule type="cellIs" dxfId="106" priority="50" operator="between">
      <formula>$N$93</formula>
      <formula>$O$93</formula>
    </cfRule>
  </conditionalFormatting>
  <conditionalFormatting sqref="B94:K94">
    <cfRule type="cellIs" dxfId="105" priority="49" operator="between">
      <formula>$N$94</formula>
      <formula>$O$94</formula>
    </cfRule>
  </conditionalFormatting>
  <conditionalFormatting sqref="B95:K95">
    <cfRule type="cellIs" dxfId="104" priority="48" operator="between">
      <formula>$N$95</formula>
      <formula>$O$95</formula>
    </cfRule>
  </conditionalFormatting>
  <conditionalFormatting sqref="B96:K96">
    <cfRule type="cellIs" dxfId="103" priority="47" operator="between">
      <formula>$N$96</formula>
      <formula>$O$96</formula>
    </cfRule>
  </conditionalFormatting>
  <conditionalFormatting sqref="B97:K97">
    <cfRule type="cellIs" dxfId="102" priority="46" operator="between">
      <formula>$N$97</formula>
      <formula>$O$97</formula>
    </cfRule>
  </conditionalFormatting>
  <conditionalFormatting sqref="B98:K98">
    <cfRule type="cellIs" dxfId="101" priority="55" operator="between">
      <formula>19.36</formula>
      <formula>21.36</formula>
    </cfRule>
  </conditionalFormatting>
  <conditionalFormatting sqref="C36:D36 J3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D3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:K31">
    <cfRule type="cellIs" dxfId="100" priority="74" operator="between">
      <formula>$N$31</formula>
      <formula>$O$31</formula>
    </cfRule>
  </conditionalFormatting>
  <conditionalFormatting sqref="E24 B24 G24:H24 J2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5 B25 G25:H25 J2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1">
    <cfRule type="cellIs" dxfId="99" priority="45" operator="between">
      <formula>$N$9</formula>
      <formula>$O$9</formula>
    </cfRule>
  </conditionalFormatting>
  <conditionalFormatting sqref="G49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:H12 J12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3:H13 J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K61 B6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1:K61 S37 B61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K6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8 J7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horizontalDpi="4294967292" verticalDpi="429496729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00A7-8213-4579-B1E9-2719F4A1BB09}">
  <dimension ref="A1:U136"/>
  <sheetViews>
    <sheetView zoomScaleNormal="100" workbookViewId="0">
      <selection activeCell="D32" sqref="D32"/>
    </sheetView>
  </sheetViews>
  <sheetFormatPr defaultColWidth="10.6328125" defaultRowHeight="12.75" customHeight="1" x14ac:dyDescent="0.3"/>
  <cols>
    <col min="1" max="1" width="19.54296875" style="1" customWidth="1"/>
    <col min="2" max="16" width="8.90625" style="1"/>
    <col min="17" max="17" width="36.6328125" style="1" bestFit="1" customWidth="1"/>
    <col min="18" max="18" width="13.54296875" style="1" customWidth="1"/>
    <col min="19" max="20" width="8.90625" style="1"/>
    <col min="21" max="21" width="12.36328125" style="1" customWidth="1"/>
    <col min="22" max="16384" width="10.6328125" style="1"/>
  </cols>
  <sheetData>
    <row r="1" spans="1:21" ht="13.8" x14ac:dyDescent="0.3">
      <c r="A1" s="2"/>
      <c r="C1" s="2"/>
    </row>
    <row r="2" spans="1:21" ht="12.75" customHeight="1" x14ac:dyDescent="0.3">
      <c r="B2" s="17" t="s">
        <v>29</v>
      </c>
    </row>
    <row r="3" spans="1:21" ht="13.8" x14ac:dyDescent="0.3">
      <c r="A3" s="2" t="s">
        <v>0</v>
      </c>
      <c r="B3" s="24" t="s">
        <v>1</v>
      </c>
      <c r="C3" s="23"/>
      <c r="D3" s="23"/>
      <c r="E3" s="23"/>
      <c r="F3" s="23"/>
      <c r="G3" s="23"/>
      <c r="H3" s="23"/>
      <c r="I3" s="23"/>
      <c r="J3" s="23"/>
      <c r="K3" s="23"/>
      <c r="L3" s="7"/>
      <c r="M3" s="7"/>
      <c r="N3" s="7"/>
    </row>
    <row r="4" spans="1:21" ht="13.8" x14ac:dyDescent="0.3">
      <c r="B4" s="24" t="s">
        <v>2</v>
      </c>
      <c r="C4" s="23"/>
      <c r="D4" s="23"/>
      <c r="E4" s="23"/>
      <c r="F4" s="23"/>
      <c r="G4" s="23"/>
      <c r="H4" s="23"/>
      <c r="I4" s="23"/>
      <c r="J4" s="23"/>
      <c r="K4" s="23"/>
      <c r="L4" s="7"/>
      <c r="M4" s="7"/>
      <c r="N4" s="7"/>
      <c r="U4" s="2" t="s">
        <v>3</v>
      </c>
    </row>
    <row r="5" spans="1:21" ht="13.8" x14ac:dyDescent="0.3">
      <c r="A5" s="7" t="s">
        <v>4</v>
      </c>
      <c r="B5" s="14">
        <v>1</v>
      </c>
      <c r="C5" s="7">
        <v>2</v>
      </c>
      <c r="D5" s="16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13">
        <v>9</v>
      </c>
      <c r="K5" s="7">
        <v>10</v>
      </c>
      <c r="L5" s="7" t="s">
        <v>5</v>
      </c>
      <c r="M5" s="7" t="s">
        <v>6</v>
      </c>
      <c r="N5" s="7" t="s">
        <v>7</v>
      </c>
      <c r="O5" s="7" t="s">
        <v>8</v>
      </c>
      <c r="R5" s="2" t="s">
        <v>9</v>
      </c>
      <c r="S5" s="1">
        <v>110</v>
      </c>
      <c r="T5" s="1">
        <v>430</v>
      </c>
    </row>
    <row r="6" spans="1:21" ht="14.4" x14ac:dyDescent="0.3">
      <c r="A6" s="1" t="s">
        <v>10</v>
      </c>
      <c r="B6" s="1">
        <v>1.275901</v>
      </c>
      <c r="C6" s="8">
        <v>1.2271510000000001</v>
      </c>
      <c r="D6" s="8">
        <v>1.297612</v>
      </c>
      <c r="E6" s="8">
        <v>1.2271510000000001</v>
      </c>
      <c r="F6" s="8">
        <v>1.517798</v>
      </c>
      <c r="G6" s="8">
        <v>1.7680439999999999</v>
      </c>
      <c r="H6" s="8">
        <v>1.697384</v>
      </c>
      <c r="I6" s="8">
        <v>1.8201700000000001</v>
      </c>
      <c r="J6" s="8">
        <v>1.7666930000000001</v>
      </c>
      <c r="K6" s="8">
        <v>1.894598</v>
      </c>
      <c r="L6" s="1">
        <f>AVERAGE(B6:K6)</f>
        <v>1.5492501999999999</v>
      </c>
      <c r="M6" s="1">
        <f>STDEV(B6:K6)</f>
        <v>0.27003805511561124</v>
      </c>
      <c r="N6" s="1">
        <f>L6-M6</f>
        <v>1.2792121448843887</v>
      </c>
      <c r="O6" s="1">
        <f>L6+M6</f>
        <v>1.8192882551156111</v>
      </c>
      <c r="R6" s="2" t="s">
        <v>11</v>
      </c>
      <c r="S6" s="3"/>
      <c r="T6" s="4"/>
    </row>
    <row r="7" spans="1:21" ht="14.4" x14ac:dyDescent="0.3">
      <c r="A7" s="1" t="s">
        <v>12</v>
      </c>
      <c r="B7" s="8">
        <v>16.319611999999999</v>
      </c>
      <c r="C7" s="8">
        <v>20.890311000000001</v>
      </c>
      <c r="D7" s="1">
        <v>19.377005</v>
      </c>
      <c r="E7" s="8">
        <v>20.890311000000001</v>
      </c>
      <c r="F7" s="8">
        <v>13.441528</v>
      </c>
      <c r="G7" s="8">
        <v>17.213097000000001</v>
      </c>
      <c r="H7" s="8">
        <v>19.976738999999998</v>
      </c>
      <c r="I7" s="8">
        <v>21.247868</v>
      </c>
      <c r="J7" s="8">
        <v>18.263204000000002</v>
      </c>
      <c r="K7" s="8">
        <v>17.853836000000001</v>
      </c>
      <c r="L7" s="1">
        <f t="shared" ref="L7:L12" si="0">AVERAGE(B7:K7)</f>
        <v>18.547351100000004</v>
      </c>
      <c r="M7" s="1">
        <f t="shared" ref="M7:M12" si="1">STDEV(B7:K7)</f>
        <v>2.4580339224118788</v>
      </c>
      <c r="N7" s="1">
        <f t="shared" ref="N7:N10" si="2">L7-M7</f>
        <v>16.089317177588125</v>
      </c>
      <c r="O7" s="1">
        <f t="shared" ref="O7:O10" si="3">L7+M7</f>
        <v>21.005385022411883</v>
      </c>
      <c r="R7" s="1" t="s">
        <v>10</v>
      </c>
      <c r="S7" s="6"/>
      <c r="T7" s="6"/>
    </row>
    <row r="8" spans="1:21" ht="14.4" x14ac:dyDescent="0.3">
      <c r="A8" s="1" t="s">
        <v>13</v>
      </c>
      <c r="B8" s="8">
        <v>0.49714399999999997</v>
      </c>
      <c r="C8" s="8">
        <v>0.49021799999999999</v>
      </c>
      <c r="D8" s="1">
        <v>0.495006</v>
      </c>
      <c r="E8" s="8">
        <v>0.49021799999999999</v>
      </c>
      <c r="F8" s="1">
        <v>0.45175500000000002</v>
      </c>
      <c r="G8" s="1">
        <v>0.47983399999999998</v>
      </c>
      <c r="H8" s="1">
        <v>0.47473824999999997</v>
      </c>
      <c r="I8" s="1">
        <v>0.464561</v>
      </c>
      <c r="J8" s="1">
        <v>0.462648</v>
      </c>
      <c r="K8" s="1">
        <v>0.45467299999999999</v>
      </c>
      <c r="L8" s="1">
        <f t="shared" si="0"/>
        <v>0.47607952499999995</v>
      </c>
      <c r="M8" s="1">
        <f t="shared" si="1"/>
        <v>1.6933253693402772E-2</v>
      </c>
      <c r="N8" s="1">
        <f t="shared" si="2"/>
        <v>0.45914627130659719</v>
      </c>
      <c r="O8" s="1">
        <f t="shared" si="3"/>
        <v>0.49301277869340271</v>
      </c>
      <c r="R8" s="1" t="s">
        <v>12</v>
      </c>
      <c r="S8" s="6"/>
      <c r="T8" s="6"/>
    </row>
    <row r="9" spans="1:21" ht="14.4" x14ac:dyDescent="0.3">
      <c r="A9" s="1" t="s">
        <v>14</v>
      </c>
      <c r="B9" s="8">
        <v>4.2493650000000001</v>
      </c>
      <c r="C9" s="8">
        <v>3.8445849999999999</v>
      </c>
      <c r="D9" s="8">
        <v>4.0179049999999998</v>
      </c>
      <c r="E9" s="8">
        <v>3.8445849999999999</v>
      </c>
      <c r="F9" s="1">
        <v>4.247179</v>
      </c>
      <c r="G9" s="1">
        <v>3.981077</v>
      </c>
      <c r="H9" s="1">
        <v>3.7110145000000001</v>
      </c>
      <c r="I9" s="1">
        <v>3.623726</v>
      </c>
      <c r="J9" s="1">
        <v>3.8174160000000001</v>
      </c>
      <c r="K9" s="1">
        <v>3.7559629999999999</v>
      </c>
      <c r="L9" s="1">
        <f t="shared" si="0"/>
        <v>3.9092815500000002</v>
      </c>
      <c r="M9" s="1">
        <f t="shared" si="1"/>
        <v>0.21290426113298097</v>
      </c>
      <c r="N9" s="1">
        <f t="shared" si="2"/>
        <v>3.6963772888670192</v>
      </c>
      <c r="O9" s="1">
        <f t="shared" si="3"/>
        <v>4.1221858111329812</v>
      </c>
      <c r="R9" s="1" t="s">
        <v>13</v>
      </c>
      <c r="S9" s="6"/>
      <c r="T9" s="6"/>
    </row>
    <row r="10" spans="1:21" ht="14.4" x14ac:dyDescent="0.3">
      <c r="A10" s="1" t="s">
        <v>15</v>
      </c>
      <c r="B10" s="1">
        <v>3.5258999999999999E-2</v>
      </c>
      <c r="C10" s="8">
        <v>0.37135000000000001</v>
      </c>
      <c r="D10" s="1">
        <v>6.6721000000000003E-2</v>
      </c>
      <c r="E10" s="8">
        <v>0.37135000000000001</v>
      </c>
      <c r="F10" s="8">
        <v>5.0570999999999998E-2</v>
      </c>
      <c r="G10" s="8">
        <v>1.9358E-2</v>
      </c>
      <c r="H10" s="8">
        <v>0.10327725</v>
      </c>
      <c r="I10" s="8">
        <v>5.9542999999999999E-2</v>
      </c>
      <c r="J10" s="8">
        <v>9.0193999999999996E-2</v>
      </c>
      <c r="K10" s="8">
        <v>5.2165999999999997E-2</v>
      </c>
      <c r="L10" s="1">
        <f t="shared" si="0"/>
        <v>0.121978925</v>
      </c>
      <c r="M10" s="1">
        <f t="shared" si="1"/>
        <v>0.13362797407313179</v>
      </c>
      <c r="N10" s="1">
        <f t="shared" si="2"/>
        <v>-1.1649049073131787E-2</v>
      </c>
      <c r="O10" s="1">
        <f t="shared" si="3"/>
        <v>0.25560689907313178</v>
      </c>
      <c r="R10" s="1" t="s">
        <v>14</v>
      </c>
      <c r="S10" s="6"/>
      <c r="T10" s="6"/>
    </row>
    <row r="11" spans="1:21" ht="14.4" x14ac:dyDescent="0.3">
      <c r="A11" s="1" t="s">
        <v>16</v>
      </c>
      <c r="B11" s="9">
        <v>16.78</v>
      </c>
      <c r="C11" s="9">
        <v>17.03</v>
      </c>
      <c r="D11" s="9">
        <v>17.670000000000002</v>
      </c>
      <c r="E11" s="9">
        <v>18.3</v>
      </c>
      <c r="F11" s="9">
        <v>14.16</v>
      </c>
      <c r="G11" s="9">
        <v>16.97</v>
      </c>
      <c r="H11" s="9">
        <v>16.489999999999998</v>
      </c>
      <c r="I11" s="9">
        <v>16.149999999999999</v>
      </c>
      <c r="J11" s="9">
        <v>16.97</v>
      </c>
      <c r="K11" s="9">
        <v>14.67</v>
      </c>
      <c r="L11" s="9">
        <f>AVERAGE(B11:K11)</f>
        <v>16.518999999999998</v>
      </c>
      <c r="M11" s="9">
        <f>STDEV(B11:K11)</f>
        <v>1.2628666684263319</v>
      </c>
      <c r="N11" s="9">
        <f>L11-M11</f>
        <v>15.256133331573666</v>
      </c>
      <c r="O11" s="9">
        <f>L11+M11</f>
        <v>17.781866668426332</v>
      </c>
      <c r="S11" s="6"/>
      <c r="T11" s="6"/>
    </row>
    <row r="12" spans="1:21" ht="14.4" x14ac:dyDescent="0.3">
      <c r="A12" s="1" t="s">
        <v>17</v>
      </c>
      <c r="B12" s="9">
        <v>1.03</v>
      </c>
      <c r="C12" s="9">
        <v>1.06</v>
      </c>
      <c r="D12" s="9">
        <v>1.1200000000000001</v>
      </c>
      <c r="E12" s="9">
        <v>1.06</v>
      </c>
      <c r="F12" s="9">
        <v>1.19</v>
      </c>
      <c r="G12" s="9">
        <v>1.1499999999999999</v>
      </c>
      <c r="H12" s="9">
        <v>0.96599999999999997</v>
      </c>
      <c r="I12" s="9">
        <v>1.07</v>
      </c>
      <c r="J12" s="9">
        <v>1.1599999999999999</v>
      </c>
      <c r="K12" s="9"/>
      <c r="L12" s="9">
        <f t="shared" si="0"/>
        <v>1.0895555555555554</v>
      </c>
      <c r="M12" s="9">
        <f t="shared" si="1"/>
        <v>7.1216415086535867E-2</v>
      </c>
      <c r="N12" s="9">
        <f>L12-M12</f>
        <v>1.0183391404690196</v>
      </c>
      <c r="O12" s="9">
        <f>L12+M12</f>
        <v>1.1607719706420911</v>
      </c>
      <c r="R12" s="1" t="s">
        <v>15</v>
      </c>
      <c r="S12" s="6"/>
      <c r="T12" s="6"/>
    </row>
    <row r="13" spans="1:21" ht="13.8" x14ac:dyDescent="0.3">
      <c r="A13" s="1" t="s">
        <v>18</v>
      </c>
      <c r="B13" s="22">
        <f>ABS((B11-20.36)/20.36)*100</f>
        <v>17.583497053045178</v>
      </c>
      <c r="C13" s="22">
        <f t="shared" ref="C13:K13" si="4">ABS((C11-20.36)/20.36)*100</f>
        <v>16.355599214145375</v>
      </c>
      <c r="D13" s="22">
        <f t="shared" si="4"/>
        <v>13.212180746561874</v>
      </c>
      <c r="E13" s="22">
        <f t="shared" si="4"/>
        <v>10.117878192534375</v>
      </c>
      <c r="F13" s="22">
        <f t="shared" si="4"/>
        <v>30.451866404715126</v>
      </c>
      <c r="G13" s="22">
        <f>ABS((G11-20.36)/20.36)*100</f>
        <v>16.650294695481339</v>
      </c>
      <c r="H13" s="22">
        <f t="shared" si="4"/>
        <v>19.007858546168965</v>
      </c>
      <c r="I13" s="22">
        <f t="shared" si="4"/>
        <v>20.677799607072696</v>
      </c>
      <c r="J13" s="22">
        <f t="shared" si="4"/>
        <v>16.650294695481339</v>
      </c>
      <c r="K13" s="22">
        <f t="shared" si="4"/>
        <v>27.946954813359525</v>
      </c>
      <c r="R13" s="1" t="s">
        <v>19</v>
      </c>
    </row>
    <row r="14" spans="1:21" ht="13.8" x14ac:dyDescent="0.3"/>
    <row r="15" spans="1:21" ht="13.8" x14ac:dyDescent="0.3">
      <c r="A15" s="2" t="s">
        <v>20</v>
      </c>
      <c r="B15" s="23" t="s">
        <v>1</v>
      </c>
      <c r="C15" s="23"/>
      <c r="D15" s="23"/>
      <c r="E15" s="23"/>
      <c r="F15" s="23"/>
      <c r="G15" s="23"/>
      <c r="H15" s="23"/>
      <c r="I15" s="23"/>
      <c r="J15" s="23"/>
      <c r="K15" s="23"/>
    </row>
    <row r="16" spans="1:21" ht="12.75" customHeight="1" x14ac:dyDescent="0.3">
      <c r="B16" s="23" t="s">
        <v>2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8" ht="13.8" x14ac:dyDescent="0.3">
      <c r="A17" s="7" t="s">
        <v>4</v>
      </c>
      <c r="B17" s="7">
        <v>1</v>
      </c>
      <c r="C17" s="7">
        <v>2</v>
      </c>
      <c r="D17" s="16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 t="s">
        <v>5</v>
      </c>
      <c r="M17" s="7" t="s">
        <v>6</v>
      </c>
      <c r="N17" s="7" t="s">
        <v>7</v>
      </c>
      <c r="O17" s="7" t="s">
        <v>8</v>
      </c>
    </row>
    <row r="18" spans="1:18" ht="14.4" x14ac:dyDescent="0.3">
      <c r="A18" s="1" t="s">
        <v>10</v>
      </c>
      <c r="B18" s="11">
        <v>1.1845909999999999</v>
      </c>
      <c r="C18" s="12">
        <v>1.2271510000000001</v>
      </c>
      <c r="D18" s="12">
        <v>1.297612</v>
      </c>
      <c r="E18" s="12">
        <v>1.2271510000000001</v>
      </c>
      <c r="F18" s="12">
        <v>1.297612</v>
      </c>
      <c r="G18" s="12">
        <v>1.7680439999999999</v>
      </c>
      <c r="H18" s="12">
        <v>1.5995029999999999</v>
      </c>
      <c r="I18" s="12">
        <v>1.8201700000000001</v>
      </c>
      <c r="J18" s="12">
        <v>1.7666930000000001</v>
      </c>
      <c r="K18" s="11">
        <v>1.894598</v>
      </c>
      <c r="L18" s="1">
        <f>AVERAGE(B18:K18)</f>
        <v>1.5083125000000002</v>
      </c>
      <c r="M18" s="1">
        <f>STDEV(B18:K18)</f>
        <v>0.28687914976064133</v>
      </c>
      <c r="N18" s="1">
        <f>L18-M18</f>
        <v>1.2214333502393588</v>
      </c>
      <c r="O18" s="1">
        <f>L18+M18</f>
        <v>1.7951916497606415</v>
      </c>
    </row>
    <row r="19" spans="1:18" ht="14.4" x14ac:dyDescent="0.3">
      <c r="A19" s="1" t="s">
        <v>12</v>
      </c>
      <c r="B19" s="11">
        <v>23.371061000000001</v>
      </c>
      <c r="C19" s="12">
        <v>20.890311000000001</v>
      </c>
      <c r="D19" s="12">
        <v>19.377005</v>
      </c>
      <c r="E19" s="12">
        <v>20.890311000000001</v>
      </c>
      <c r="F19" s="12">
        <v>19.377005</v>
      </c>
      <c r="G19" s="12">
        <v>17.213097000000001</v>
      </c>
      <c r="H19" s="12">
        <v>20.708915999999999</v>
      </c>
      <c r="I19" s="12">
        <v>21.247868</v>
      </c>
      <c r="J19" s="12">
        <v>18.263204000000002</v>
      </c>
      <c r="K19" s="11">
        <v>17.853836000000001</v>
      </c>
      <c r="L19" s="1">
        <f t="shared" ref="L19:L22" si="5">AVERAGE(B19:K19)</f>
        <v>19.919261400000003</v>
      </c>
      <c r="M19" s="1">
        <f t="shared" ref="M19:M22" si="6">STDEV(B19:K19)</f>
        <v>1.8591952553102822</v>
      </c>
      <c r="N19" s="1">
        <f t="shared" ref="N19:N22" si="7">L19-M19</f>
        <v>18.060066144689721</v>
      </c>
      <c r="O19" s="1">
        <f t="shared" ref="O19:O22" si="8">L19+M19</f>
        <v>21.778456655310286</v>
      </c>
    </row>
    <row r="20" spans="1:18" ht="14.4" x14ac:dyDescent="0.3">
      <c r="A20" s="1" t="s">
        <v>13</v>
      </c>
      <c r="B20" s="11">
        <v>0.53864049999999997</v>
      </c>
      <c r="C20" s="12">
        <v>0.49021799999999999</v>
      </c>
      <c r="D20" s="12">
        <v>0.495006</v>
      </c>
      <c r="E20" s="12">
        <v>0.49021799999999999</v>
      </c>
      <c r="F20" s="12">
        <v>0.495006</v>
      </c>
      <c r="G20" s="12">
        <v>0.47983399999999998</v>
      </c>
      <c r="H20" s="12">
        <v>0.49673099999999998</v>
      </c>
      <c r="I20" s="12">
        <v>0.464561</v>
      </c>
      <c r="J20" s="12">
        <v>0.462648</v>
      </c>
      <c r="K20" s="11">
        <v>0.45467299999999999</v>
      </c>
      <c r="L20" s="1">
        <f t="shared" si="5"/>
        <v>0.48675354999999987</v>
      </c>
      <c r="M20" s="1">
        <f t="shared" si="6"/>
        <v>2.3810932258628587E-2</v>
      </c>
      <c r="N20" s="1">
        <f t="shared" si="7"/>
        <v>0.4629426177413713</v>
      </c>
      <c r="O20" s="1">
        <f t="shared" si="8"/>
        <v>0.51056448225862849</v>
      </c>
      <c r="R20" s="1" t="s">
        <v>30</v>
      </c>
    </row>
    <row r="21" spans="1:18" ht="13.65" customHeight="1" x14ac:dyDescent="0.3">
      <c r="A21" s="1" t="s">
        <v>14</v>
      </c>
      <c r="B21" s="11">
        <v>4.4694754999999997</v>
      </c>
      <c r="C21" s="12">
        <v>3.8445849999999999</v>
      </c>
      <c r="D21" s="12">
        <v>4.0179049999999998</v>
      </c>
      <c r="E21" s="12">
        <v>3.8445849999999999</v>
      </c>
      <c r="F21" s="12">
        <v>4.0179049999999998</v>
      </c>
      <c r="G21" s="1">
        <v>3.981077</v>
      </c>
      <c r="H21" s="12">
        <v>3.9047339999999999</v>
      </c>
      <c r="I21" s="12">
        <v>3.623726</v>
      </c>
      <c r="J21" s="12">
        <v>3.8174160000000001</v>
      </c>
      <c r="K21" s="11">
        <v>3.7559629999999999</v>
      </c>
      <c r="L21" s="1">
        <f t="shared" si="5"/>
        <v>3.92773715</v>
      </c>
      <c r="M21" s="1">
        <f t="shared" si="6"/>
        <v>0.22633398647059044</v>
      </c>
      <c r="N21" s="1">
        <f t="shared" si="7"/>
        <v>3.7014031635294096</v>
      </c>
      <c r="O21" s="1">
        <f t="shared" si="8"/>
        <v>4.1540711364705905</v>
      </c>
      <c r="R21" s="1" t="s">
        <v>31</v>
      </c>
    </row>
    <row r="22" spans="1:18" ht="14.4" x14ac:dyDescent="0.3">
      <c r="A22" s="1" t="s">
        <v>15</v>
      </c>
      <c r="B22" s="11">
        <v>0.1033115</v>
      </c>
      <c r="C22" s="12">
        <v>0.37135000000000001</v>
      </c>
      <c r="D22" s="12">
        <v>6.6721000000000003E-2</v>
      </c>
      <c r="E22" s="12">
        <v>0.37135000000000001</v>
      </c>
      <c r="F22" s="12">
        <v>6.6721000000000003E-2</v>
      </c>
      <c r="G22" s="1">
        <v>1.9358E-2</v>
      </c>
      <c r="H22" s="12">
        <v>8.5707000000000005E-2</v>
      </c>
      <c r="I22" s="12">
        <v>5.9542999999999999E-2</v>
      </c>
      <c r="J22" s="12">
        <v>9.0193999999999996E-2</v>
      </c>
      <c r="K22" s="11">
        <v>5.2165999999999997E-2</v>
      </c>
      <c r="L22" s="1">
        <f t="shared" si="5"/>
        <v>0.12864214999999996</v>
      </c>
      <c r="M22" s="1">
        <f t="shared" si="6"/>
        <v>0.12996251904214756</v>
      </c>
      <c r="N22" s="1">
        <f t="shared" si="7"/>
        <v>-1.3203690421476066E-3</v>
      </c>
      <c r="O22" s="1">
        <f t="shared" si="8"/>
        <v>0.25860466904214752</v>
      </c>
    </row>
    <row r="23" spans="1:18" ht="14.4" x14ac:dyDescent="0.3">
      <c r="A23" s="1" t="s">
        <v>16</v>
      </c>
      <c r="B23" s="11">
        <v>18.04</v>
      </c>
      <c r="C23" s="12">
        <v>18.43</v>
      </c>
      <c r="D23" s="12">
        <v>19.149999999999999</v>
      </c>
      <c r="E23" s="12">
        <v>19.82</v>
      </c>
      <c r="F23" s="12">
        <v>17.14</v>
      </c>
      <c r="G23" s="12">
        <v>18.440000000000001</v>
      </c>
      <c r="H23" s="12">
        <v>16.920000000000002</v>
      </c>
      <c r="I23" s="12">
        <v>17.53</v>
      </c>
      <c r="J23" s="12">
        <v>17.61</v>
      </c>
      <c r="K23" s="11">
        <v>15.95</v>
      </c>
      <c r="L23" s="9">
        <f>AVERAGE(B23:K23)</f>
        <v>17.902999999999999</v>
      </c>
      <c r="M23" s="9">
        <f>STDEV(B23:K23)</f>
        <v>1.1255818248552363</v>
      </c>
      <c r="N23" s="9">
        <f>L23-M23</f>
        <v>16.777418175144764</v>
      </c>
      <c r="O23" s="9">
        <f>L23+M23</f>
        <v>19.028581824855234</v>
      </c>
    </row>
    <row r="24" spans="1:18" ht="13.8" x14ac:dyDescent="0.3">
      <c r="A24" s="1" t="s">
        <v>17</v>
      </c>
      <c r="B24" s="11">
        <v>1.2</v>
      </c>
      <c r="C24" s="11">
        <v>1.07</v>
      </c>
      <c r="D24" s="11">
        <v>1.1200000000000001</v>
      </c>
      <c r="E24" s="11">
        <v>1.06</v>
      </c>
      <c r="F24" s="11">
        <v>1.23</v>
      </c>
      <c r="G24" s="11">
        <v>1.1499999999999999</v>
      </c>
      <c r="H24" s="11">
        <v>1.2</v>
      </c>
      <c r="I24" s="11">
        <v>1.07</v>
      </c>
      <c r="J24" s="11">
        <v>1.1599999999999999</v>
      </c>
      <c r="K24" s="11">
        <v>1.1299999999999999</v>
      </c>
      <c r="L24" s="9">
        <f t="shared" ref="L24" si="9">AVERAGE(B24:K24)</f>
        <v>1.139</v>
      </c>
      <c r="M24" s="9">
        <f t="shared" ref="M24" si="10">STDEV(B24:K24)</f>
        <v>6.0083275543199158E-2</v>
      </c>
      <c r="N24" s="9">
        <f>L24-M24</f>
        <v>1.0789167244568008</v>
      </c>
      <c r="O24" s="9">
        <f>L24+M24</f>
        <v>1.1990832755431993</v>
      </c>
    </row>
    <row r="25" spans="1:18" ht="13.8" x14ac:dyDescent="0.3">
      <c r="A25" s="1" t="s">
        <v>18</v>
      </c>
      <c r="B25" s="22">
        <f>ABS((B23-20.36)/20.36)*100</f>
        <v>11.39489194499018</v>
      </c>
      <c r="C25" s="22">
        <f t="shared" ref="C25:K25" si="11">ABS((C23-20.36)/20.36)*100</f>
        <v>9.4793713163064819</v>
      </c>
      <c r="D25" s="22">
        <f t="shared" si="11"/>
        <v>5.9430255402750536</v>
      </c>
      <c r="E25" s="22">
        <f t="shared" si="11"/>
        <v>2.6522593320235717</v>
      </c>
      <c r="F25" s="22">
        <f t="shared" si="11"/>
        <v>15.815324165029466</v>
      </c>
      <c r="G25" s="22">
        <f>ABS((G23-20.36)/20.36)*100</f>
        <v>9.4302554027504826</v>
      </c>
      <c r="H25" s="22">
        <f t="shared" si="11"/>
        <v>16.895874263261284</v>
      </c>
      <c r="I25" s="22">
        <f t="shared" si="11"/>
        <v>13.899803536345768</v>
      </c>
      <c r="J25" s="22">
        <f t="shared" si="11"/>
        <v>13.506876227897841</v>
      </c>
      <c r="K25" s="22">
        <f t="shared" si="11"/>
        <v>21.660117878192537</v>
      </c>
    </row>
    <row r="26" spans="1:18" ht="13.8" x14ac:dyDescent="0.3"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8" ht="13.8" x14ac:dyDescent="0.3">
      <c r="A27" s="2" t="s">
        <v>21</v>
      </c>
      <c r="B27" s="23" t="s">
        <v>1</v>
      </c>
      <c r="C27" s="23"/>
      <c r="D27" s="23"/>
      <c r="E27" s="23"/>
      <c r="F27" s="23"/>
      <c r="G27" s="23"/>
      <c r="H27" s="23"/>
      <c r="I27" s="23"/>
      <c r="J27" s="23"/>
      <c r="K27" s="23"/>
      <c r="Q27" s="1" t="s">
        <v>26</v>
      </c>
      <c r="R27" s="1" t="s">
        <v>32</v>
      </c>
    </row>
    <row r="28" spans="1:18" ht="13.8" x14ac:dyDescent="0.3">
      <c r="B28" s="23" t="s">
        <v>2</v>
      </c>
      <c r="C28" s="23"/>
      <c r="D28" s="23"/>
      <c r="E28" s="23"/>
      <c r="F28" s="23"/>
      <c r="G28" s="23"/>
      <c r="H28" s="23"/>
      <c r="I28" s="23"/>
      <c r="J28" s="23"/>
      <c r="K28" s="23"/>
      <c r="Q28" s="22">
        <f>AVERAGE(D13,D25,J37,B50,F62,E74)</f>
        <v>13.367714472822525</v>
      </c>
      <c r="R28" s="22">
        <f>AVERAGE(D13,D25,J37,F62,E74)</f>
        <v>10.697445972495084</v>
      </c>
    </row>
    <row r="29" spans="1:18" ht="15.75" customHeight="1" x14ac:dyDescent="0.3">
      <c r="A29" s="7" t="s">
        <v>4</v>
      </c>
      <c r="B29" s="7">
        <v>1</v>
      </c>
      <c r="C29" s="7">
        <v>2</v>
      </c>
      <c r="D29" s="20">
        <v>3</v>
      </c>
      <c r="E29" s="7">
        <v>4</v>
      </c>
      <c r="F29" s="7">
        <v>5</v>
      </c>
      <c r="G29" s="7">
        <v>6</v>
      </c>
      <c r="H29" s="14">
        <v>7</v>
      </c>
      <c r="I29" s="7">
        <v>8</v>
      </c>
      <c r="J29" s="16">
        <v>9</v>
      </c>
      <c r="K29" s="7">
        <v>10</v>
      </c>
      <c r="L29" s="7" t="s">
        <v>5</v>
      </c>
      <c r="M29" s="7" t="s">
        <v>6</v>
      </c>
      <c r="N29" s="7" t="s">
        <v>7</v>
      </c>
      <c r="O29" s="7" t="s">
        <v>8</v>
      </c>
    </row>
    <row r="30" spans="1:18" ht="14.4" x14ac:dyDescent="0.3">
      <c r="A30" s="1" t="s">
        <v>10</v>
      </c>
      <c r="B30" s="11">
        <v>1.4270719999999999</v>
      </c>
      <c r="C30" s="12">
        <v>1.2271510000000001</v>
      </c>
      <c r="D30" s="12">
        <v>1.993738</v>
      </c>
      <c r="E30" s="12">
        <v>1.2271510000000001</v>
      </c>
      <c r="F30" s="12">
        <v>1.141243</v>
      </c>
      <c r="G30" s="12">
        <v>1.830573</v>
      </c>
      <c r="H30" s="12">
        <v>1.280321</v>
      </c>
      <c r="I30" s="12">
        <v>1.8201700000000001</v>
      </c>
      <c r="J30" s="12">
        <v>1.523088</v>
      </c>
      <c r="K30" s="12">
        <v>1.894598</v>
      </c>
      <c r="L30" s="1">
        <f>AVERAGE(B30:K30)</f>
        <v>1.5365104999999999</v>
      </c>
      <c r="M30" s="1">
        <f>STDEV(B30:K30)</f>
        <v>0.32139489659131937</v>
      </c>
      <c r="N30" s="1">
        <f>L30-M30</f>
        <v>1.2151156034086805</v>
      </c>
      <c r="O30" s="1">
        <f>L30+M30</f>
        <v>1.8579053965913193</v>
      </c>
    </row>
    <row r="31" spans="1:18" ht="14.4" x14ac:dyDescent="0.3">
      <c r="A31" s="1" t="s">
        <v>12</v>
      </c>
      <c r="B31" s="11">
        <v>19.983595999999999</v>
      </c>
      <c r="C31" s="12">
        <v>20.890311000000001</v>
      </c>
      <c r="D31" s="12">
        <v>14.773975999999999</v>
      </c>
      <c r="E31" s="12">
        <v>20.890311000000001</v>
      </c>
      <c r="F31" s="12">
        <v>26.720863999999999</v>
      </c>
      <c r="G31" s="12">
        <v>19.063300999999999</v>
      </c>
      <c r="H31" s="12">
        <v>20.116417999999999</v>
      </c>
      <c r="I31" s="12">
        <v>21.247868</v>
      </c>
      <c r="J31" s="12">
        <v>21.396785999999999</v>
      </c>
      <c r="K31" s="12">
        <v>17.853836000000001</v>
      </c>
      <c r="L31" s="1">
        <f t="shared" ref="L31:L33" si="12">AVERAGE(B31:K31)</f>
        <v>20.293726700000001</v>
      </c>
      <c r="M31" s="1">
        <f t="shared" ref="M31:M34" si="13">STDEV(B31:K31)</f>
        <v>3.0223119593053394</v>
      </c>
      <c r="N31" s="1">
        <f t="shared" ref="N31:N34" si="14">L31-M31</f>
        <v>17.271414740694659</v>
      </c>
      <c r="O31" s="1">
        <f t="shared" ref="O31:O34" si="15">L31+M31</f>
        <v>23.316038659305342</v>
      </c>
    </row>
    <row r="32" spans="1:18" ht="12.75" customHeight="1" x14ac:dyDescent="0.3">
      <c r="A32" s="1" t="s">
        <v>13</v>
      </c>
      <c r="B32" s="11">
        <v>0.482873</v>
      </c>
      <c r="C32" s="12">
        <v>0.49021799999999999</v>
      </c>
      <c r="D32" s="12">
        <v>0.45701999999999998</v>
      </c>
      <c r="E32" s="12">
        <v>0.49021799999999999</v>
      </c>
      <c r="F32" s="12">
        <v>0.5174685</v>
      </c>
      <c r="G32" s="12">
        <v>0.46127299999999999</v>
      </c>
      <c r="H32" s="12">
        <v>0.45558900000000002</v>
      </c>
      <c r="I32" s="12">
        <v>0.464561</v>
      </c>
      <c r="J32" s="12">
        <v>0.48988700000000002</v>
      </c>
      <c r="K32" s="12">
        <v>0.45467299999999999</v>
      </c>
      <c r="L32" s="1">
        <f t="shared" si="12"/>
        <v>0.47637804999999994</v>
      </c>
      <c r="M32" s="1">
        <f t="shared" si="13"/>
        <v>2.0928509848277408E-2</v>
      </c>
      <c r="N32" s="1">
        <f t="shared" si="14"/>
        <v>0.45544954015172251</v>
      </c>
      <c r="O32" s="1">
        <f t="shared" si="15"/>
        <v>0.49730655984827737</v>
      </c>
    </row>
    <row r="33" spans="1:15" ht="12.75" customHeight="1" x14ac:dyDescent="0.3">
      <c r="A33" s="1" t="s">
        <v>14</v>
      </c>
      <c r="B33" s="11">
        <v>3.7941419999999999</v>
      </c>
      <c r="C33" s="12">
        <v>3.8445849999999999</v>
      </c>
      <c r="D33" s="12">
        <v>4.0148989999999998</v>
      </c>
      <c r="E33" s="12">
        <v>3.8445849999999999</v>
      </c>
      <c r="F33" s="12">
        <v>3.8130353124999998</v>
      </c>
      <c r="G33" s="12">
        <v>3.658541</v>
      </c>
      <c r="H33" s="12">
        <v>3.6846670000000001</v>
      </c>
      <c r="I33" s="12">
        <v>3.623726</v>
      </c>
      <c r="J33" s="12">
        <v>3.6998150000000001</v>
      </c>
      <c r="K33" s="12">
        <v>3.7559629999999999</v>
      </c>
      <c r="L33" s="1">
        <f t="shared" si="12"/>
        <v>3.7733958312500002</v>
      </c>
      <c r="M33" s="1">
        <f t="shared" si="13"/>
        <v>0.11529903462937276</v>
      </c>
      <c r="N33" s="1">
        <f t="shared" si="14"/>
        <v>3.6580967966206273</v>
      </c>
      <c r="O33" s="1">
        <f t="shared" si="15"/>
        <v>3.8886948658793732</v>
      </c>
    </row>
    <row r="34" spans="1:15" ht="12.75" customHeight="1" x14ac:dyDescent="0.3">
      <c r="A34" s="1" t="s">
        <v>15</v>
      </c>
      <c r="B34" s="11">
        <v>0.135819</v>
      </c>
      <c r="C34" s="12">
        <v>0.37135000000000001</v>
      </c>
      <c r="D34" s="12">
        <v>0.115651</v>
      </c>
      <c r="E34" s="12">
        <v>0.37135000000000001</v>
      </c>
      <c r="F34" s="12">
        <v>0.1152911875</v>
      </c>
      <c r="G34" s="12">
        <v>9.9399000000000001E-2</v>
      </c>
      <c r="H34" s="12">
        <v>8.1686999999999996E-2</v>
      </c>
      <c r="I34" s="12">
        <v>5.9542999999999999E-2</v>
      </c>
      <c r="J34" s="12">
        <v>6.5439999999999998E-2</v>
      </c>
      <c r="K34" s="12">
        <v>5.2165999999999997E-2</v>
      </c>
      <c r="L34" s="1">
        <f>AVERAGE(B34:K34)</f>
        <v>0.14676961875</v>
      </c>
      <c r="M34" s="1">
        <f t="shared" si="13"/>
        <v>0.12138297005390128</v>
      </c>
      <c r="N34" s="1">
        <f t="shared" si="14"/>
        <v>2.5386648696098718E-2</v>
      </c>
      <c r="O34" s="1">
        <f t="shared" si="15"/>
        <v>0.26815258880390125</v>
      </c>
    </row>
    <row r="35" spans="1:15" ht="12.75" customHeight="1" x14ac:dyDescent="0.3">
      <c r="A35" s="1" t="s">
        <v>16</v>
      </c>
      <c r="B35" s="11">
        <v>19.12</v>
      </c>
      <c r="C35" s="12">
        <v>17.940000000000001</v>
      </c>
      <c r="D35" s="12">
        <v>17.53</v>
      </c>
      <c r="E35" s="12">
        <v>19.37</v>
      </c>
      <c r="F35" s="12">
        <v>20.69</v>
      </c>
      <c r="G35" s="12">
        <v>17.43</v>
      </c>
      <c r="H35" s="12">
        <v>19.39</v>
      </c>
      <c r="I35" s="12">
        <v>18.36</v>
      </c>
      <c r="J35" s="12">
        <v>19.64</v>
      </c>
      <c r="K35" s="12">
        <v>16.71</v>
      </c>
      <c r="L35" s="1">
        <f>AVERAGE(B35:K35)</f>
        <v>18.618000000000002</v>
      </c>
      <c r="M35" s="9">
        <f>STDEV(B35:K35)</f>
        <v>1.2253326079069309</v>
      </c>
      <c r="N35" s="9">
        <f>L35-M35</f>
        <v>17.39266739209307</v>
      </c>
      <c r="O35" s="9">
        <f>L35+M35</f>
        <v>19.843332607906934</v>
      </c>
    </row>
    <row r="36" spans="1:15" ht="12.75" customHeight="1" x14ac:dyDescent="0.3">
      <c r="A36" s="1" t="s">
        <v>17</v>
      </c>
      <c r="B36" s="11">
        <v>1.2</v>
      </c>
      <c r="C36" s="11">
        <v>1.07</v>
      </c>
      <c r="D36" s="11">
        <v>1.1100000000000001</v>
      </c>
      <c r="E36" s="11">
        <v>1.06</v>
      </c>
      <c r="F36" s="11">
        <v>1.17</v>
      </c>
      <c r="G36" s="11">
        <v>1.07</v>
      </c>
      <c r="H36" s="11">
        <v>1.1200000000000001</v>
      </c>
      <c r="I36" s="11">
        <v>1.07</v>
      </c>
      <c r="J36" s="11">
        <v>1.1200000000000001</v>
      </c>
      <c r="K36" s="11">
        <v>1.1299999999999999</v>
      </c>
      <c r="L36" s="9">
        <f t="shared" ref="L36" si="16">AVERAGE(B36:K36)</f>
        <v>1.1119999999999997</v>
      </c>
      <c r="M36" s="9">
        <f t="shared" ref="M36" si="17">STDEV(B36:K36)</f>
        <v>4.6619023298792195E-2</v>
      </c>
      <c r="N36" s="9">
        <f>L36-M36</f>
        <v>1.0653809767012075</v>
      </c>
      <c r="O36" s="9">
        <f>L36+M36</f>
        <v>1.1586190232987919</v>
      </c>
    </row>
    <row r="37" spans="1:15" ht="12.75" customHeight="1" x14ac:dyDescent="0.3">
      <c r="A37" s="1" t="s">
        <v>18</v>
      </c>
      <c r="B37" s="22">
        <f>ABS((B35-20.36)/20.36)*100</f>
        <v>6.0903732809430178</v>
      </c>
      <c r="C37" s="22">
        <f t="shared" ref="C37:K37" si="18">ABS((C35-20.36)/20.36)*100</f>
        <v>11.886051080550089</v>
      </c>
      <c r="D37" s="22">
        <f t="shared" si="18"/>
        <v>13.899803536345768</v>
      </c>
      <c r="E37" s="22">
        <f t="shared" si="18"/>
        <v>4.8624754420432144</v>
      </c>
      <c r="F37" s="22">
        <f t="shared" si="18"/>
        <v>1.6208251473477497</v>
      </c>
      <c r="G37" s="22">
        <f>ABS((G35-20.36)/20.36)*100</f>
        <v>14.390962671905697</v>
      </c>
      <c r="H37" s="22">
        <f t="shared" si="18"/>
        <v>4.7642436149312326</v>
      </c>
      <c r="I37" s="22">
        <f t="shared" si="18"/>
        <v>9.8231827111984291</v>
      </c>
      <c r="J37" s="22">
        <f t="shared" si="18"/>
        <v>3.5363457760314283</v>
      </c>
      <c r="K37" s="22">
        <f t="shared" si="18"/>
        <v>17.927308447937126</v>
      </c>
    </row>
    <row r="38" spans="1:15" ht="12.75" customHeight="1" x14ac:dyDescent="0.3">
      <c r="B38" s="10"/>
      <c r="C38" s="10"/>
      <c r="D38" s="10"/>
      <c r="E38" s="10"/>
    </row>
    <row r="39" spans="1:15" ht="13.8" x14ac:dyDescent="0.3"/>
    <row r="40" spans="1:15" ht="12.75" customHeight="1" x14ac:dyDescent="0.3">
      <c r="A40" s="2" t="s">
        <v>22</v>
      </c>
      <c r="B40" s="24" t="s">
        <v>1</v>
      </c>
      <c r="C40" s="23"/>
      <c r="D40" s="23"/>
      <c r="E40" s="23"/>
      <c r="F40" s="23"/>
      <c r="G40" s="23"/>
      <c r="H40" s="23"/>
      <c r="I40" s="23"/>
      <c r="J40" s="23"/>
      <c r="K40" s="23"/>
      <c r="L40" s="7"/>
      <c r="M40" s="7"/>
      <c r="N40" s="7"/>
    </row>
    <row r="41" spans="1:15" ht="13.8" x14ac:dyDescent="0.3">
      <c r="B41" s="24" t="s">
        <v>2</v>
      </c>
      <c r="C41" s="23"/>
      <c r="D41" s="23"/>
      <c r="E41" s="23"/>
      <c r="F41" s="23"/>
      <c r="G41" s="23"/>
      <c r="H41" s="23"/>
      <c r="I41" s="23"/>
      <c r="J41" s="23"/>
      <c r="K41" s="23"/>
      <c r="L41" s="7"/>
      <c r="M41" s="7"/>
      <c r="N41" s="7"/>
    </row>
    <row r="42" spans="1:15" ht="13.8" x14ac:dyDescent="0.3">
      <c r="A42" s="7" t="s">
        <v>4</v>
      </c>
      <c r="B42" s="16">
        <v>1</v>
      </c>
      <c r="C42" s="7">
        <v>2</v>
      </c>
      <c r="D42" s="7">
        <v>3</v>
      </c>
      <c r="E42" s="7">
        <v>4</v>
      </c>
      <c r="F42" s="7">
        <v>5</v>
      </c>
      <c r="G42" s="7">
        <v>6</v>
      </c>
      <c r="H42" s="7">
        <v>7</v>
      </c>
      <c r="I42" s="7">
        <v>8</v>
      </c>
      <c r="J42" s="7">
        <v>9</v>
      </c>
      <c r="K42" s="7">
        <v>10</v>
      </c>
      <c r="L42" s="7" t="s">
        <v>5</v>
      </c>
      <c r="M42" s="7" t="s">
        <v>6</v>
      </c>
      <c r="N42" s="7" t="s">
        <v>7</v>
      </c>
      <c r="O42" s="7" t="s">
        <v>8</v>
      </c>
    </row>
    <row r="43" spans="1:15" ht="14.4" x14ac:dyDescent="0.3">
      <c r="A43" s="1" t="s">
        <v>10</v>
      </c>
      <c r="B43" s="1">
        <v>1.6627000000000001</v>
      </c>
      <c r="C43" s="8">
        <v>1.76986</v>
      </c>
      <c r="D43" s="8">
        <v>1.7680439999999999</v>
      </c>
      <c r="E43" s="8">
        <v>1.7958700000000001</v>
      </c>
      <c r="F43" s="8">
        <v>1.4820979999999999</v>
      </c>
      <c r="G43" s="8">
        <v>1.77555</v>
      </c>
      <c r="H43" s="8">
        <v>1.4814039999999999</v>
      </c>
      <c r="I43" s="8">
        <v>1.6627000000000001</v>
      </c>
      <c r="J43" s="8">
        <v>1.6627000000000001</v>
      </c>
      <c r="K43" s="8">
        <v>1.7958700000000001</v>
      </c>
      <c r="L43" s="1">
        <f>AVERAGE(B43:K43)</f>
        <v>1.6856795999999998</v>
      </c>
      <c r="M43" s="1">
        <f>STDEV(B43:K43)</f>
        <v>0.12064131690188991</v>
      </c>
      <c r="N43" s="1">
        <f>L43-M43</f>
        <v>1.56503828309811</v>
      </c>
      <c r="O43" s="1">
        <f>L43+M43</f>
        <v>1.8063209169018897</v>
      </c>
    </row>
    <row r="44" spans="1:15" ht="12.75" customHeight="1" x14ac:dyDescent="0.3">
      <c r="A44" s="1" t="s">
        <v>12</v>
      </c>
      <c r="B44" s="8">
        <v>8.9596350000000005</v>
      </c>
      <c r="C44" s="8">
        <v>9.9469000000000002E-2</v>
      </c>
      <c r="D44" s="1">
        <v>17.213097000000001</v>
      </c>
      <c r="E44" s="8">
        <v>8.7700910000000007</v>
      </c>
      <c r="F44" s="8">
        <v>9.5352870000000003</v>
      </c>
      <c r="G44" s="8">
        <v>3.9262429999999999</v>
      </c>
      <c r="H44" s="8">
        <v>12.957185000000001</v>
      </c>
      <c r="I44" s="8">
        <v>8.9596350000000005</v>
      </c>
      <c r="J44" s="8">
        <v>8.9596350000000005</v>
      </c>
      <c r="K44" s="8">
        <v>8.7700910000000007</v>
      </c>
      <c r="L44" s="1">
        <f t="shared" ref="L44:L46" si="19">AVERAGE(B44:K44)</f>
        <v>8.8150368000000014</v>
      </c>
      <c r="M44" s="1">
        <f t="shared" ref="M44:M47" si="20">STDEV(B44:K44)</f>
        <v>4.5720377203618918</v>
      </c>
      <c r="N44" s="1">
        <f t="shared" ref="N44:N47" si="21">L44-M44</f>
        <v>4.2429990796381096</v>
      </c>
      <c r="O44" s="1">
        <f t="shared" ref="O44:O47" si="22">L44+M44</f>
        <v>13.387074520361892</v>
      </c>
    </row>
    <row r="45" spans="1:15" ht="12.75" customHeight="1" x14ac:dyDescent="0.3">
      <c r="A45" s="1" t="s">
        <v>13</v>
      </c>
      <c r="B45" s="8">
        <v>0.49335000000000001</v>
      </c>
      <c r="C45" s="8">
        <v>0.49307000000000001</v>
      </c>
      <c r="D45" s="1">
        <v>0.47983399999999998</v>
      </c>
      <c r="E45" s="1">
        <v>0.46834700000000001</v>
      </c>
      <c r="F45" s="1">
        <v>0.45960400000000001</v>
      </c>
      <c r="G45" s="1">
        <v>0.45551199999999997</v>
      </c>
      <c r="H45" s="1">
        <v>0.43525900000000001</v>
      </c>
      <c r="I45" s="1">
        <v>0.49335000000000001</v>
      </c>
      <c r="J45" s="1">
        <v>0.49335000000000001</v>
      </c>
      <c r="K45" s="1">
        <v>0.46834700000000001</v>
      </c>
      <c r="L45" s="1">
        <f t="shared" si="19"/>
        <v>0.47400229999999999</v>
      </c>
      <c r="M45" s="1">
        <f t="shared" si="20"/>
        <v>2.009642522689048E-2</v>
      </c>
      <c r="N45" s="1">
        <f t="shared" si="21"/>
        <v>0.45390587477310951</v>
      </c>
      <c r="O45" s="1">
        <f t="shared" si="22"/>
        <v>0.49409872522689047</v>
      </c>
    </row>
    <row r="46" spans="1:15" ht="12.75" customHeight="1" x14ac:dyDescent="0.3">
      <c r="A46" s="1" t="s">
        <v>14</v>
      </c>
      <c r="B46" s="8">
        <v>4.7770380000000001</v>
      </c>
      <c r="C46" s="8">
        <v>5.912242</v>
      </c>
      <c r="D46" s="8">
        <v>3.981077</v>
      </c>
      <c r="E46" s="1">
        <v>4.6893000000000002</v>
      </c>
      <c r="F46" s="1">
        <v>4.5924969999999998</v>
      </c>
      <c r="G46" s="1">
        <v>5.6560050000000004</v>
      </c>
      <c r="H46" s="1">
        <v>4.1509584999999998</v>
      </c>
      <c r="I46" s="1">
        <v>4.7770380000000001</v>
      </c>
      <c r="J46" s="1">
        <v>4.7770380000000001</v>
      </c>
      <c r="K46" s="1">
        <v>4.6893000000000002</v>
      </c>
      <c r="L46" s="1">
        <f t="shared" si="19"/>
        <v>4.8002493499999996</v>
      </c>
      <c r="M46" s="1">
        <f t="shared" si="20"/>
        <v>0.58980827288073945</v>
      </c>
      <c r="N46" s="1">
        <f t="shared" si="21"/>
        <v>4.2104410771192597</v>
      </c>
      <c r="O46" s="1">
        <f t="shared" si="22"/>
        <v>5.3900576228807395</v>
      </c>
    </row>
    <row r="47" spans="1:15" ht="12.75" customHeight="1" x14ac:dyDescent="0.3">
      <c r="A47" s="1" t="s">
        <v>15</v>
      </c>
      <c r="B47" s="1">
        <v>0.105915</v>
      </c>
      <c r="C47" s="1">
        <v>9.2967999999999995E-2</v>
      </c>
      <c r="D47" s="1">
        <v>1.9358E-2</v>
      </c>
      <c r="E47" s="1">
        <v>8.4720000000000004E-2</v>
      </c>
      <c r="F47" s="1">
        <v>0.12552199999999999</v>
      </c>
      <c r="G47" s="1">
        <v>5.3881999999999999E-2</v>
      </c>
      <c r="H47" s="1">
        <v>0.10004449999999999</v>
      </c>
      <c r="I47" s="1">
        <v>0.105915</v>
      </c>
      <c r="J47" s="1">
        <v>0.105915</v>
      </c>
      <c r="K47" s="1">
        <v>8.4720000000000004E-2</v>
      </c>
      <c r="L47" s="1">
        <f>AVERAGE(B47:K47)</f>
        <v>8.7895949999999987E-2</v>
      </c>
      <c r="M47" s="1">
        <f t="shared" si="20"/>
        <v>3.0618918964923619E-2</v>
      </c>
      <c r="N47" s="1">
        <f t="shared" si="21"/>
        <v>5.7277031035076365E-2</v>
      </c>
      <c r="O47" s="1">
        <f t="shared" si="22"/>
        <v>0.11851486896492361</v>
      </c>
    </row>
    <row r="48" spans="1:15" ht="12.75" customHeight="1" x14ac:dyDescent="0.3">
      <c r="A48" s="1" t="s">
        <v>16</v>
      </c>
      <c r="B48" s="1">
        <v>14.92</v>
      </c>
      <c r="C48" s="1">
        <v>13.4</v>
      </c>
      <c r="D48" s="1">
        <v>13.79</v>
      </c>
      <c r="E48" s="1">
        <v>13.19</v>
      </c>
      <c r="F48" s="1">
        <v>12.19</v>
      </c>
      <c r="G48" s="1">
        <v>10.51</v>
      </c>
      <c r="H48" s="1">
        <v>14.37</v>
      </c>
      <c r="I48" s="1">
        <v>14.16</v>
      </c>
      <c r="J48" s="1">
        <v>11.92</v>
      </c>
      <c r="K48" s="1">
        <v>12.15</v>
      </c>
      <c r="L48" s="1">
        <f>AVERAGE(B48:K48)</f>
        <v>13.059999999999999</v>
      </c>
      <c r="M48" s="9">
        <f>STDEV(B48:K48)</f>
        <v>1.3514683372786305</v>
      </c>
      <c r="N48" s="9">
        <f>L48-M48</f>
        <v>11.708531662721368</v>
      </c>
      <c r="O48" s="9">
        <f>L48+M48</f>
        <v>14.411468337278629</v>
      </c>
    </row>
    <row r="49" spans="1:15" ht="12.75" customHeight="1" x14ac:dyDescent="0.3">
      <c r="A49" s="1" t="s">
        <v>17</v>
      </c>
      <c r="B49" s="9">
        <v>0.88300000000000001</v>
      </c>
      <c r="C49" s="9">
        <v>0.80600000000000005</v>
      </c>
      <c r="D49" s="9">
        <v>0.84</v>
      </c>
      <c r="E49" s="9">
        <v>0.96899999999999997</v>
      </c>
      <c r="F49" s="9">
        <v>0.92</v>
      </c>
      <c r="G49" s="9">
        <v>0.89200000000000002</v>
      </c>
      <c r="H49" s="9">
        <v>0.89700000000000002</v>
      </c>
      <c r="I49" s="9">
        <v>2.34</v>
      </c>
      <c r="J49" s="9">
        <v>0.91200000000000003</v>
      </c>
      <c r="K49" s="9">
        <v>0.90800000000000003</v>
      </c>
      <c r="L49" s="9">
        <f t="shared" ref="L49" si="23">AVERAGE(B49:K49)</f>
        <v>1.0367000000000002</v>
      </c>
      <c r="M49" s="9">
        <f t="shared" ref="M49" si="24">STDEV(B49:K49)</f>
        <v>0.46006015307179593</v>
      </c>
      <c r="N49" s="9">
        <f>L49-M49</f>
        <v>0.57663984692820425</v>
      </c>
      <c r="O49" s="9">
        <f>L49+M49</f>
        <v>1.4967601530717962</v>
      </c>
    </row>
    <row r="50" spans="1:15" ht="12.75" customHeight="1" x14ac:dyDescent="0.3">
      <c r="A50" s="1" t="s">
        <v>18</v>
      </c>
      <c r="B50" s="22">
        <f>ABS((B48-20.36)/20.36)*100</f>
        <v>26.719056974459722</v>
      </c>
      <c r="C50" s="22">
        <f t="shared" ref="C50:K50" si="25">ABS((C48-20.36)/20.36)*100</f>
        <v>34.184675834970527</v>
      </c>
      <c r="D50" s="22">
        <f t="shared" si="25"/>
        <v>32.26915520628684</v>
      </c>
      <c r="E50" s="22">
        <f t="shared" si="25"/>
        <v>35.216110019646365</v>
      </c>
      <c r="F50" s="22">
        <f t="shared" si="25"/>
        <v>40.127701375245579</v>
      </c>
      <c r="G50" s="22">
        <f>ABS((G48-20.36)/20.36)*100</f>
        <v>48.379174852652255</v>
      </c>
      <c r="H50" s="22">
        <f t="shared" si="25"/>
        <v>29.420432220039295</v>
      </c>
      <c r="I50" s="22">
        <f t="shared" si="25"/>
        <v>30.451866404715126</v>
      </c>
      <c r="J50" s="22">
        <f t="shared" si="25"/>
        <v>41.453831041257367</v>
      </c>
      <c r="K50" s="22">
        <f t="shared" si="25"/>
        <v>40.324165029469548</v>
      </c>
    </row>
    <row r="51" spans="1:15" ht="13.8" x14ac:dyDescent="0.3"/>
    <row r="52" spans="1:15" ht="12.75" customHeight="1" x14ac:dyDescent="0.3">
      <c r="A52" s="2" t="s">
        <v>23</v>
      </c>
      <c r="B52" s="23" t="s">
        <v>1</v>
      </c>
      <c r="C52" s="23"/>
      <c r="D52" s="23"/>
      <c r="E52" s="23"/>
      <c r="F52" s="23"/>
      <c r="G52" s="23"/>
      <c r="H52" s="23"/>
      <c r="I52" s="23"/>
      <c r="J52" s="23"/>
      <c r="K52" s="23"/>
      <c r="L52" s="7"/>
      <c r="M52" s="7"/>
      <c r="N52" s="7"/>
    </row>
    <row r="53" spans="1:15" ht="13.8" x14ac:dyDescent="0.3">
      <c r="B53" s="23" t="s">
        <v>2</v>
      </c>
      <c r="C53" s="23"/>
      <c r="D53" s="23"/>
      <c r="E53" s="23"/>
      <c r="F53" s="23"/>
      <c r="G53" s="23"/>
      <c r="H53" s="23"/>
      <c r="I53" s="23"/>
      <c r="J53" s="23"/>
      <c r="K53" s="23"/>
      <c r="L53" s="7"/>
      <c r="M53" s="7"/>
      <c r="N53" s="7"/>
    </row>
    <row r="54" spans="1:15" ht="13.8" x14ac:dyDescent="0.3">
      <c r="A54" s="7" t="s">
        <v>4</v>
      </c>
      <c r="B54" s="7">
        <v>1</v>
      </c>
      <c r="C54" s="7">
        <v>2</v>
      </c>
      <c r="D54" s="7">
        <v>3</v>
      </c>
      <c r="E54" s="7">
        <v>4</v>
      </c>
      <c r="F54" s="16">
        <v>5</v>
      </c>
      <c r="G54" s="7">
        <v>6</v>
      </c>
      <c r="H54" s="7">
        <v>7</v>
      </c>
      <c r="I54" s="7">
        <v>8</v>
      </c>
      <c r="J54" s="7">
        <v>9</v>
      </c>
      <c r="K54" s="7">
        <v>10</v>
      </c>
      <c r="L54" s="7" t="s">
        <v>5</v>
      </c>
      <c r="M54" s="7" t="s">
        <v>6</v>
      </c>
      <c r="N54" s="7" t="s">
        <v>7</v>
      </c>
      <c r="O54" s="7" t="s">
        <v>8</v>
      </c>
    </row>
    <row r="55" spans="1:15" ht="14.4" x14ac:dyDescent="0.3">
      <c r="A55" s="1" t="s">
        <v>10</v>
      </c>
      <c r="B55" s="11">
        <v>1.6627000000000001</v>
      </c>
      <c r="C55" s="12">
        <v>1.76986</v>
      </c>
      <c r="D55" s="12">
        <v>1.7680439999999999</v>
      </c>
      <c r="E55" s="12">
        <v>1.7425930000000001</v>
      </c>
      <c r="F55" s="12">
        <v>1.769282</v>
      </c>
      <c r="G55" s="12">
        <v>1.77555</v>
      </c>
      <c r="H55" s="12">
        <v>1.5263549999999999</v>
      </c>
      <c r="I55" s="12">
        <v>1.6627000000000001</v>
      </c>
      <c r="J55" s="12">
        <v>1.6627000000000001</v>
      </c>
      <c r="K55" s="11">
        <v>1.7958700000000001</v>
      </c>
      <c r="L55" s="1">
        <f>AVERAGE(B55:K55)</f>
        <v>1.7135654000000002</v>
      </c>
      <c r="M55" s="1">
        <f>STDEV(B55:K55)</f>
        <v>8.4003756108085234E-2</v>
      </c>
      <c r="N55" s="1">
        <f>L55-M55</f>
        <v>1.6295616438919149</v>
      </c>
      <c r="O55" s="1">
        <f>L55+M55</f>
        <v>1.7975691561080855</v>
      </c>
    </row>
    <row r="56" spans="1:15" ht="12.75" customHeight="1" x14ac:dyDescent="0.3">
      <c r="A56" s="1" t="s">
        <v>12</v>
      </c>
      <c r="B56" s="11">
        <v>8.9596350000000005</v>
      </c>
      <c r="C56" s="12">
        <v>9.9469000000000002E-2</v>
      </c>
      <c r="D56" s="12">
        <v>17.213097000000001</v>
      </c>
      <c r="E56" s="12">
        <v>8.6330460000000002</v>
      </c>
      <c r="F56" s="12">
        <v>12.380089</v>
      </c>
      <c r="G56" s="12">
        <v>3.9262429999999999</v>
      </c>
      <c r="H56" s="12">
        <v>10.093771</v>
      </c>
      <c r="I56" s="12">
        <v>8.9596350000000005</v>
      </c>
      <c r="J56" s="12">
        <v>8.9596350000000005</v>
      </c>
      <c r="K56" s="11">
        <v>8.7700910000000007</v>
      </c>
      <c r="L56" s="1">
        <f t="shared" ref="L56:L59" si="26">AVERAGE(B56:K56)</f>
        <v>8.7994711000000017</v>
      </c>
      <c r="M56" s="1">
        <f t="shared" ref="M56:M59" si="27">STDEV(B56:K56)</f>
        <v>4.5317281980069355</v>
      </c>
      <c r="N56" s="1">
        <f t="shared" ref="N56:N59" si="28">L56-M56</f>
        <v>4.2677429019930662</v>
      </c>
      <c r="O56" s="1">
        <f t="shared" ref="O56:O59" si="29">L56+M56</f>
        <v>13.331199298006936</v>
      </c>
    </row>
    <row r="57" spans="1:15" ht="12.75" customHeight="1" x14ac:dyDescent="0.3">
      <c r="A57" s="1" t="s">
        <v>13</v>
      </c>
      <c r="B57" s="11">
        <v>0.49335000000000001</v>
      </c>
      <c r="C57" s="12">
        <v>0.49307000000000001</v>
      </c>
      <c r="D57" s="12">
        <v>0.47983399999999998</v>
      </c>
      <c r="E57" s="12">
        <v>0.48252600000000001</v>
      </c>
      <c r="F57" s="12">
        <v>0.47062900000000002</v>
      </c>
      <c r="G57" s="12">
        <v>0.45551199999999997</v>
      </c>
      <c r="H57" s="12">
        <v>0.47842800000000002</v>
      </c>
      <c r="I57" s="12">
        <v>0.49335000000000001</v>
      </c>
      <c r="J57" s="12">
        <v>0.49335000000000001</v>
      </c>
      <c r="K57" s="11">
        <v>0.46834700000000001</v>
      </c>
      <c r="L57" s="1">
        <f t="shared" si="26"/>
        <v>0.48083960000000003</v>
      </c>
      <c r="M57" s="1">
        <f t="shared" si="27"/>
        <v>1.304093013213058E-2</v>
      </c>
      <c r="N57" s="1">
        <f t="shared" si="28"/>
        <v>0.46779866986786944</v>
      </c>
      <c r="O57" s="1">
        <f t="shared" si="29"/>
        <v>0.49388053013213062</v>
      </c>
    </row>
    <row r="58" spans="1:15" ht="12.75" customHeight="1" x14ac:dyDescent="0.3">
      <c r="A58" s="1" t="s">
        <v>14</v>
      </c>
      <c r="B58" s="11">
        <v>4.7770380000000001</v>
      </c>
      <c r="C58" s="12">
        <v>5.912242</v>
      </c>
      <c r="D58" s="12">
        <v>3.981077</v>
      </c>
      <c r="E58" s="12">
        <v>4.6677404999999998</v>
      </c>
      <c r="F58" s="12">
        <v>4.3153480000000002</v>
      </c>
      <c r="G58" s="12">
        <v>5.6560050000000004</v>
      </c>
      <c r="H58" s="12">
        <v>4.9189274999999997</v>
      </c>
      <c r="I58" s="12">
        <v>4.7770380000000001</v>
      </c>
      <c r="J58" s="12">
        <v>4.7770380000000001</v>
      </c>
      <c r="K58" s="11">
        <v>4.6893000000000002</v>
      </c>
      <c r="L58" s="1">
        <f t="shared" si="26"/>
        <v>4.8471753999999994</v>
      </c>
      <c r="M58" s="1">
        <f t="shared" si="27"/>
        <v>0.56750591381147075</v>
      </c>
      <c r="N58" s="1">
        <f t="shared" si="28"/>
        <v>4.2796694861885287</v>
      </c>
      <c r="O58" s="1">
        <f t="shared" si="29"/>
        <v>5.41468131381147</v>
      </c>
    </row>
    <row r="59" spans="1:15" ht="12.75" customHeight="1" x14ac:dyDescent="0.3">
      <c r="A59" s="1" t="s">
        <v>15</v>
      </c>
      <c r="B59" s="11">
        <v>0.105915</v>
      </c>
      <c r="C59" s="12">
        <v>9.2967999999999995E-2</v>
      </c>
      <c r="D59" s="12">
        <v>1.9358E-2</v>
      </c>
      <c r="E59" s="12">
        <v>6.7002999999999993E-2</v>
      </c>
      <c r="F59" s="12">
        <v>5.4948999999999998E-2</v>
      </c>
      <c r="G59" s="1">
        <v>5.3881999999999999E-2</v>
      </c>
      <c r="H59" s="12">
        <v>7.6249999999999998E-2</v>
      </c>
      <c r="I59" s="12">
        <v>0.105915</v>
      </c>
      <c r="J59" s="12">
        <v>0.105915</v>
      </c>
      <c r="K59" s="11">
        <v>8.4720000000000004E-2</v>
      </c>
      <c r="L59" s="1">
        <f t="shared" si="26"/>
        <v>7.6687499999999992E-2</v>
      </c>
      <c r="M59" s="1">
        <f t="shared" si="27"/>
        <v>2.84128721503711E-2</v>
      </c>
      <c r="N59" s="1">
        <f t="shared" si="28"/>
        <v>4.8274627849628896E-2</v>
      </c>
      <c r="O59" s="1">
        <f t="shared" si="29"/>
        <v>0.10510037215037109</v>
      </c>
    </row>
    <row r="60" spans="1:15" ht="12.75" customHeight="1" x14ac:dyDescent="0.3">
      <c r="A60" s="1" t="s">
        <v>16</v>
      </c>
      <c r="B60" s="1">
        <v>15.59</v>
      </c>
      <c r="C60" s="1">
        <v>14.25</v>
      </c>
      <c r="D60" s="1">
        <v>14.44</v>
      </c>
      <c r="E60" s="1">
        <v>14.4</v>
      </c>
      <c r="F60" s="1">
        <v>15.83</v>
      </c>
      <c r="G60" s="1">
        <v>11.15</v>
      </c>
      <c r="H60" s="1">
        <v>13.78</v>
      </c>
      <c r="I60" s="1">
        <v>14.7</v>
      </c>
      <c r="J60" s="1">
        <v>13.9</v>
      </c>
      <c r="K60" s="1">
        <v>12.86</v>
      </c>
      <c r="L60" s="9">
        <f>AVERAGE(B60:K60)</f>
        <v>14.090000000000003</v>
      </c>
      <c r="M60" s="9">
        <f>STDEV(B60:K60)</f>
        <v>1.3409200821326626</v>
      </c>
      <c r="N60" s="9">
        <f>L60-M60</f>
        <v>12.749079917867341</v>
      </c>
      <c r="O60" s="9">
        <f>L60+M60</f>
        <v>15.430920082132666</v>
      </c>
    </row>
    <row r="61" spans="1:15" ht="12.75" customHeight="1" x14ac:dyDescent="0.3">
      <c r="A61" s="1" t="s">
        <v>17</v>
      </c>
      <c r="B61" s="11">
        <v>0.88300000000000001</v>
      </c>
      <c r="C61" s="11">
        <v>0.80800000000000005</v>
      </c>
      <c r="D61" s="11">
        <v>0.84099999999999997</v>
      </c>
      <c r="E61" s="11">
        <v>0.84499999999999997</v>
      </c>
      <c r="F61" s="11">
        <v>0.71199999999999997</v>
      </c>
      <c r="G61" s="11">
        <v>0.89400000000000002</v>
      </c>
      <c r="H61" s="11">
        <v>0.86699999999999999</v>
      </c>
      <c r="I61" s="11">
        <v>0.80700000000000005</v>
      </c>
      <c r="J61" s="11">
        <v>0.91200000000000003</v>
      </c>
      <c r="K61" s="11">
        <v>0.90900000000000003</v>
      </c>
      <c r="L61" s="9">
        <f t="shared" ref="L61" si="30">AVERAGE(B61:K61)</f>
        <v>0.8478</v>
      </c>
      <c r="M61" s="9">
        <f t="shared" ref="M61" si="31">STDEV(B61:K61)</f>
        <v>6.0876559984574988E-2</v>
      </c>
      <c r="N61" s="9">
        <f>L61-M61</f>
        <v>0.78692344001542502</v>
      </c>
      <c r="O61" s="9">
        <f>L61+M61</f>
        <v>0.90867655998457497</v>
      </c>
    </row>
    <row r="62" spans="1:15" ht="12.75" customHeight="1" x14ac:dyDescent="0.3">
      <c r="A62" s="1" t="s">
        <v>18</v>
      </c>
      <c r="B62" s="22">
        <f>ABS((B60-20.36)/20.36)*100</f>
        <v>23.428290766208253</v>
      </c>
      <c r="C62" s="22">
        <f t="shared" ref="C62:K62" si="32">ABS((C60-20.36)/20.36)*100</f>
        <v>30.009823182711198</v>
      </c>
      <c r="D62" s="22">
        <f t="shared" si="32"/>
        <v>29.076620825147348</v>
      </c>
      <c r="E62" s="22">
        <f t="shared" si="32"/>
        <v>29.273084479371313</v>
      </c>
      <c r="F62" s="22">
        <f t="shared" si="32"/>
        <v>22.249508840864436</v>
      </c>
      <c r="G62" s="22">
        <f>ABS((G60-20.36)/20.36)*100</f>
        <v>45.235756385068761</v>
      </c>
      <c r="H62" s="22">
        <f t="shared" si="32"/>
        <v>32.318271119842827</v>
      </c>
      <c r="I62" s="22">
        <f t="shared" si="32"/>
        <v>27.799607072691551</v>
      </c>
      <c r="J62" s="22">
        <f t="shared" si="32"/>
        <v>31.72888015717092</v>
      </c>
      <c r="K62" s="22">
        <f t="shared" si="32"/>
        <v>36.836935166994103</v>
      </c>
    </row>
    <row r="63" spans="1:15" ht="13.8" x14ac:dyDescent="0.3"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5" ht="13.8" x14ac:dyDescent="0.3">
      <c r="A64" s="2" t="s">
        <v>24</v>
      </c>
      <c r="B64" s="23" t="s">
        <v>1</v>
      </c>
      <c r="C64" s="23"/>
      <c r="D64" s="23"/>
      <c r="E64" s="23"/>
      <c r="F64" s="23"/>
      <c r="G64" s="23"/>
      <c r="H64" s="23"/>
      <c r="I64" s="23"/>
      <c r="J64" s="23"/>
      <c r="K64" s="23"/>
    </row>
    <row r="65" spans="1:15" ht="13.8" x14ac:dyDescent="0.3">
      <c r="B65" s="23" t="s">
        <v>2</v>
      </c>
      <c r="C65" s="23"/>
      <c r="D65" s="23"/>
      <c r="E65" s="23"/>
      <c r="F65" s="23"/>
      <c r="G65" s="23"/>
      <c r="H65" s="23"/>
      <c r="I65" s="23"/>
      <c r="J65" s="23"/>
      <c r="K65" s="23"/>
    </row>
    <row r="66" spans="1:15" ht="13.8" x14ac:dyDescent="0.3">
      <c r="A66" s="7" t="s">
        <v>4</v>
      </c>
      <c r="B66" s="7">
        <v>1</v>
      </c>
      <c r="C66" s="7">
        <v>2</v>
      </c>
      <c r="D66" s="7">
        <v>3</v>
      </c>
      <c r="E66" s="19">
        <v>4</v>
      </c>
      <c r="F66" s="7">
        <v>5</v>
      </c>
      <c r="G66" s="7">
        <v>6</v>
      </c>
      <c r="H66" s="18">
        <v>7</v>
      </c>
      <c r="I66" s="13">
        <v>8</v>
      </c>
      <c r="J66" s="7">
        <v>9</v>
      </c>
      <c r="K66" s="7">
        <v>10</v>
      </c>
      <c r="L66" s="7" t="s">
        <v>5</v>
      </c>
      <c r="M66" s="7" t="s">
        <v>6</v>
      </c>
      <c r="N66" s="7" t="s">
        <v>7</v>
      </c>
      <c r="O66" s="7" t="s">
        <v>8</v>
      </c>
    </row>
    <row r="67" spans="1:15" ht="14.4" x14ac:dyDescent="0.3">
      <c r="A67" s="1" t="s">
        <v>10</v>
      </c>
      <c r="B67" s="11">
        <v>1.6627000000000001</v>
      </c>
      <c r="C67" s="12">
        <v>1.7942359999999999</v>
      </c>
      <c r="D67" s="12">
        <v>1.7680439999999999</v>
      </c>
      <c r="E67" s="12">
        <v>1.7958700000000001</v>
      </c>
      <c r="F67" s="12">
        <v>1.836498</v>
      </c>
      <c r="G67" s="12">
        <v>1.77555</v>
      </c>
      <c r="H67" s="12">
        <v>1.7074339999999999</v>
      </c>
      <c r="I67" s="12">
        <v>1.6627000000000001</v>
      </c>
      <c r="J67" s="12">
        <v>1.6627000000000001</v>
      </c>
      <c r="K67" s="12">
        <v>1.7958369999999999</v>
      </c>
      <c r="L67" s="1">
        <f>AVERAGE(B67:K67)</f>
        <v>1.7461569000000001</v>
      </c>
      <c r="M67" s="1">
        <f>STDEV(B67:K67)</f>
        <v>6.5954735138662388E-2</v>
      </c>
      <c r="N67" s="1">
        <f t="shared" ref="N67:N73" si="33">L67-M67</f>
        <v>1.6802021648613377</v>
      </c>
      <c r="O67" s="1">
        <f t="shared" ref="O67:O73" si="34">L67+M67</f>
        <v>1.8121116351386626</v>
      </c>
    </row>
    <row r="68" spans="1:15" ht="12.75" customHeight="1" x14ac:dyDescent="0.3">
      <c r="A68" s="1" t="s">
        <v>12</v>
      </c>
      <c r="B68" s="11">
        <v>8.9596350000000005</v>
      </c>
      <c r="C68" s="12">
        <v>6.8308059999999999</v>
      </c>
      <c r="D68" s="12">
        <v>17.213097000000001</v>
      </c>
      <c r="E68" s="12">
        <v>8.7700910000000007</v>
      </c>
      <c r="F68" s="12">
        <v>10.548978</v>
      </c>
      <c r="G68" s="12">
        <v>3.9262429999999999</v>
      </c>
      <c r="H68" s="12">
        <v>9.7989599999999992</v>
      </c>
      <c r="I68" s="12">
        <v>8.9596350000000005</v>
      </c>
      <c r="J68" s="12">
        <v>8.9596350000000005</v>
      </c>
      <c r="K68" s="12">
        <v>8.7700910000000007</v>
      </c>
      <c r="L68" s="1">
        <f t="shared" ref="L68:L70" si="35">AVERAGE(B68:K68)</f>
        <v>9.2737171000000025</v>
      </c>
      <c r="M68" s="1">
        <f t="shared" ref="M68:M71" si="36">STDEV(B68:K68)</f>
        <v>3.3383701737040439</v>
      </c>
      <c r="N68" s="1">
        <f t="shared" si="33"/>
        <v>5.9353469262959582</v>
      </c>
      <c r="O68" s="1">
        <f t="shared" si="34"/>
        <v>12.612087273704047</v>
      </c>
    </row>
    <row r="69" spans="1:15" ht="12.75" customHeight="1" x14ac:dyDescent="0.3">
      <c r="A69" s="1" t="s">
        <v>13</v>
      </c>
      <c r="B69" s="11">
        <v>0.49335000000000001</v>
      </c>
      <c r="C69" s="12">
        <v>0.487344</v>
      </c>
      <c r="D69" s="12">
        <v>0.47983399999999998</v>
      </c>
      <c r="E69" s="12">
        <v>0.46834700000000001</v>
      </c>
      <c r="F69" s="12">
        <v>0.45461200000000002</v>
      </c>
      <c r="G69" s="12">
        <v>0.45551199999999997</v>
      </c>
      <c r="H69" s="12">
        <v>0.46945900000000002</v>
      </c>
      <c r="I69" s="12">
        <v>0.49335000000000001</v>
      </c>
      <c r="J69" s="12">
        <v>0.49335000000000001</v>
      </c>
      <c r="K69" s="12">
        <v>0.46834700000000001</v>
      </c>
      <c r="L69" s="1">
        <f t="shared" si="35"/>
        <v>0.47635050000000001</v>
      </c>
      <c r="M69" s="1">
        <f t="shared" si="36"/>
        <v>1.5210928368555728E-2</v>
      </c>
      <c r="N69" s="1">
        <f t="shared" si="33"/>
        <v>0.46113957163144426</v>
      </c>
      <c r="O69" s="1">
        <f t="shared" si="34"/>
        <v>0.49156142836855576</v>
      </c>
    </row>
    <row r="70" spans="1:15" ht="12.75" customHeight="1" x14ac:dyDescent="0.3">
      <c r="A70" s="1" t="s">
        <v>14</v>
      </c>
      <c r="B70" s="11">
        <v>4.7770380000000001</v>
      </c>
      <c r="C70" s="12">
        <v>4.9551270000000001</v>
      </c>
      <c r="D70" s="12">
        <v>3.981077</v>
      </c>
      <c r="E70" s="12">
        <v>4.6893000000000002</v>
      </c>
      <c r="F70" s="12">
        <v>4.6308544999999999</v>
      </c>
      <c r="G70" s="12">
        <v>5.6560050000000004</v>
      </c>
      <c r="H70" s="12">
        <v>4.8500699999999997</v>
      </c>
      <c r="I70" s="12">
        <v>4.7770380000000001</v>
      </c>
      <c r="J70" s="12">
        <v>4.7770380000000001</v>
      </c>
      <c r="K70" s="12">
        <v>4.6893000000000002</v>
      </c>
      <c r="L70" s="1">
        <f t="shared" si="35"/>
        <v>4.7782847500000001</v>
      </c>
      <c r="M70" s="1">
        <f t="shared" si="36"/>
        <v>0.40550876831999927</v>
      </c>
      <c r="N70" s="1">
        <f t="shared" si="33"/>
        <v>4.3727759816800011</v>
      </c>
      <c r="O70" s="1">
        <f t="shared" si="34"/>
        <v>5.183793518319999</v>
      </c>
    </row>
    <row r="71" spans="1:15" ht="12.75" customHeight="1" x14ac:dyDescent="0.3">
      <c r="A71" s="1" t="s">
        <v>15</v>
      </c>
      <c r="B71" s="11">
        <v>0.105915</v>
      </c>
      <c r="C71" s="12">
        <v>2.1895999999999999E-2</v>
      </c>
      <c r="D71" s="12">
        <v>1.9358E-2</v>
      </c>
      <c r="E71" s="12">
        <v>8.4720000000000004E-2</v>
      </c>
      <c r="F71" s="12">
        <v>4.2377999999999999E-2</v>
      </c>
      <c r="G71" s="12">
        <v>5.3881999999999999E-2</v>
      </c>
      <c r="H71" s="12">
        <v>4.3736999999999998E-2</v>
      </c>
      <c r="I71" s="12">
        <v>0.105915</v>
      </c>
      <c r="J71" s="12">
        <v>0.105915</v>
      </c>
      <c r="K71" s="12">
        <v>8.4720000000000004E-2</v>
      </c>
      <c r="L71" s="1">
        <f>AVERAGE(B71:K71)</f>
        <v>6.6843600000000003E-2</v>
      </c>
      <c r="M71" s="1">
        <f t="shared" si="36"/>
        <v>3.4632205343196561E-2</v>
      </c>
      <c r="N71" s="1">
        <f t="shared" si="33"/>
        <v>3.2211394656803442E-2</v>
      </c>
      <c r="O71" s="1">
        <f t="shared" si="34"/>
        <v>0.10147580534319656</v>
      </c>
    </row>
    <row r="72" spans="1:15" ht="12.75" customHeight="1" x14ac:dyDescent="0.3">
      <c r="A72" s="1" t="s">
        <v>16</v>
      </c>
      <c r="B72" s="11">
        <v>20.92</v>
      </c>
      <c r="C72" s="12">
        <v>21.62</v>
      </c>
      <c r="D72" s="12">
        <v>19.309999999999999</v>
      </c>
      <c r="E72" s="12">
        <v>18.62</v>
      </c>
      <c r="F72" s="12">
        <v>18.829999999999998</v>
      </c>
      <c r="G72" s="12">
        <v>14.81</v>
      </c>
      <c r="H72" s="12">
        <v>17.5</v>
      </c>
      <c r="I72" s="12">
        <v>19.84</v>
      </c>
      <c r="J72" s="12">
        <v>18.21</v>
      </c>
      <c r="K72" s="12">
        <v>17.079999999999998</v>
      </c>
      <c r="L72" s="1">
        <f>AVERAGE(B72:K72)</f>
        <v>18.673999999999999</v>
      </c>
      <c r="M72" s="9">
        <f>STDEV(B72:K72)</f>
        <v>1.9601485204499745</v>
      </c>
      <c r="N72" s="9">
        <f t="shared" si="33"/>
        <v>16.713851479550026</v>
      </c>
      <c r="O72" s="9">
        <f t="shared" si="34"/>
        <v>20.634148520449973</v>
      </c>
    </row>
    <row r="73" spans="1:15" ht="13.8" x14ac:dyDescent="0.3">
      <c r="A73" s="1" t="s">
        <v>17</v>
      </c>
      <c r="B73" s="11"/>
      <c r="C73" s="11">
        <v>1.01</v>
      </c>
      <c r="D73" s="11">
        <v>0.84299999999999997</v>
      </c>
      <c r="E73" s="11">
        <v>0.97299999999999998</v>
      </c>
      <c r="F73" s="11">
        <v>0.66200000000000003</v>
      </c>
      <c r="G73" s="11">
        <v>0.89900000000000002</v>
      </c>
      <c r="H73" s="11">
        <v>0.83699999999999997</v>
      </c>
      <c r="I73" s="11">
        <v>0.81</v>
      </c>
      <c r="J73" s="11">
        <v>0.91200000000000003</v>
      </c>
      <c r="K73" s="11">
        <v>0.91200000000000003</v>
      </c>
      <c r="L73" s="9">
        <f>AVERAGE(B73:K73)</f>
        <v>0.87311111111111117</v>
      </c>
      <c r="M73" s="9">
        <f t="shared" ref="M73" si="37">STDEV(B73:K73)</f>
        <v>0.10196377352330151</v>
      </c>
      <c r="N73" s="9">
        <f t="shared" si="33"/>
        <v>0.77114733758780962</v>
      </c>
      <c r="O73" s="9">
        <f t="shared" si="34"/>
        <v>0.97507488463441272</v>
      </c>
    </row>
    <row r="74" spans="1:15" ht="12.75" customHeight="1" x14ac:dyDescent="0.3">
      <c r="A74" s="1" t="s">
        <v>18</v>
      </c>
      <c r="B74" s="22">
        <f>ABS((B72-20.36)/20.36)*100</f>
        <v>2.7504911591355712</v>
      </c>
      <c r="C74" s="22">
        <f t="shared" ref="C74:K74" si="38">ABS((C72-20.36)/20.36)*100</f>
        <v>6.1886051080550173</v>
      </c>
      <c r="D74" s="22">
        <f t="shared" si="38"/>
        <v>5.1571709233791783</v>
      </c>
      <c r="E74" s="22">
        <f t="shared" si="38"/>
        <v>8.5461689587426246</v>
      </c>
      <c r="F74" s="22">
        <f t="shared" si="38"/>
        <v>7.5147347740668033</v>
      </c>
      <c r="G74" s="22">
        <f>ABS((G72-20.36)/20.36)*100</f>
        <v>27.259332023575634</v>
      </c>
      <c r="H74" s="22">
        <f t="shared" si="38"/>
        <v>14.04715127701375</v>
      </c>
      <c r="I74" s="22">
        <f t="shared" si="38"/>
        <v>2.5540275049115895</v>
      </c>
      <c r="J74" s="22">
        <f t="shared" si="38"/>
        <v>10.559921414538303</v>
      </c>
      <c r="K74" s="22">
        <f t="shared" si="38"/>
        <v>16.11001964636543</v>
      </c>
    </row>
    <row r="75" spans="1:15" ht="13.8" x14ac:dyDescent="0.3"/>
    <row r="76" spans="1:15" ht="12.75" customHeight="1" x14ac:dyDescent="0.3">
      <c r="A76" s="15"/>
    </row>
    <row r="77" spans="1:15" ht="13.8" x14ac:dyDescent="0.3"/>
    <row r="78" spans="1:15" ht="13.8" x14ac:dyDescent="0.3">
      <c r="A78" s="2" t="s">
        <v>21</v>
      </c>
      <c r="B78" s="23" t="s">
        <v>25</v>
      </c>
      <c r="C78" s="23"/>
      <c r="D78" s="23"/>
      <c r="E78" s="23"/>
      <c r="F78" s="23"/>
      <c r="G78" s="23"/>
      <c r="H78" s="23"/>
      <c r="I78" s="23"/>
      <c r="J78" s="23"/>
      <c r="K78" s="23"/>
    </row>
    <row r="79" spans="1:15" ht="13.8" x14ac:dyDescent="0.3">
      <c r="B79" s="23" t="s">
        <v>2</v>
      </c>
      <c r="C79" s="23"/>
      <c r="D79" s="23"/>
      <c r="E79" s="23"/>
      <c r="F79" s="23"/>
      <c r="G79" s="23"/>
      <c r="H79" s="23"/>
      <c r="I79" s="23"/>
      <c r="J79" s="23"/>
      <c r="K79" s="23"/>
    </row>
    <row r="80" spans="1:15" ht="12.75" customHeight="1" x14ac:dyDescent="0.3">
      <c r="A80" s="7" t="s">
        <v>4</v>
      </c>
      <c r="B80" s="16">
        <v>1</v>
      </c>
      <c r="C80" s="7">
        <v>2</v>
      </c>
      <c r="D80" s="7">
        <v>3</v>
      </c>
      <c r="E80" s="7">
        <v>4</v>
      </c>
      <c r="F80" s="7">
        <v>5</v>
      </c>
      <c r="G80" s="7">
        <v>6</v>
      </c>
      <c r="H80" s="7">
        <v>7</v>
      </c>
      <c r="I80" s="7">
        <v>8</v>
      </c>
      <c r="J80" s="7">
        <v>9</v>
      </c>
      <c r="K80" s="7">
        <v>10</v>
      </c>
      <c r="L80" s="7" t="s">
        <v>5</v>
      </c>
      <c r="M80" s="7" t="s">
        <v>6</v>
      </c>
      <c r="N80" s="7" t="s">
        <v>7</v>
      </c>
      <c r="O80" s="7" t="s">
        <v>8</v>
      </c>
    </row>
    <row r="81" spans="1:15" ht="12.75" customHeight="1" x14ac:dyDescent="0.3">
      <c r="A81" s="1" t="s">
        <v>10</v>
      </c>
      <c r="B81" s="11">
        <v>1.1375120000000001</v>
      </c>
      <c r="C81" s="12">
        <v>1.2271510000000001</v>
      </c>
      <c r="D81" s="12">
        <v>1.329747</v>
      </c>
      <c r="E81" s="12">
        <v>1.73011</v>
      </c>
      <c r="F81" s="12">
        <v>1.279679</v>
      </c>
      <c r="G81" s="12"/>
      <c r="H81" s="12"/>
      <c r="I81" s="12"/>
      <c r="J81" s="12"/>
      <c r="K81" s="12"/>
      <c r="L81" s="1">
        <f>AVERAGE(B81:K81)</f>
        <v>1.3408397999999999</v>
      </c>
      <c r="M81" s="1">
        <f>STDEV(B81:K81)</f>
        <v>0.22894449096604191</v>
      </c>
      <c r="N81" s="1">
        <f>L81-M81</f>
        <v>1.1118953090339581</v>
      </c>
      <c r="O81" s="1">
        <f>L81+M81</f>
        <v>1.5697842909660418</v>
      </c>
    </row>
    <row r="82" spans="1:15" ht="12.75" customHeight="1" x14ac:dyDescent="0.3">
      <c r="A82" s="1" t="s">
        <v>12</v>
      </c>
      <c r="B82" s="11">
        <v>23.212035</v>
      </c>
      <c r="C82" s="12">
        <v>20.890311000000001</v>
      </c>
      <c r="D82" s="12">
        <v>17.197310000000002</v>
      </c>
      <c r="E82" s="12">
        <v>0.11090999999999999</v>
      </c>
      <c r="F82" s="12">
        <v>17.941053</v>
      </c>
      <c r="G82" s="12"/>
      <c r="H82" s="12"/>
      <c r="I82" s="12"/>
      <c r="J82" s="12"/>
      <c r="K82" s="12"/>
      <c r="L82" s="1">
        <f t="shared" ref="L82:L84" si="39">AVERAGE(B82:K82)</f>
        <v>15.8703238</v>
      </c>
      <c r="M82" s="1">
        <f t="shared" ref="M82:M85" si="40">STDEV(B82:K82)</f>
        <v>9.1311134308298225</v>
      </c>
      <c r="N82" s="1">
        <f t="shared" ref="N82:N85" si="41">L82-M82</f>
        <v>6.739210369170177</v>
      </c>
      <c r="O82" s="1">
        <f t="shared" ref="O82:O85" si="42">L82+M82</f>
        <v>25.001437230829822</v>
      </c>
    </row>
    <row r="83" spans="1:15" ht="12.75" customHeight="1" x14ac:dyDescent="0.3">
      <c r="A83" s="1" t="s">
        <v>13</v>
      </c>
      <c r="B83" s="11">
        <v>0.47731200000000001</v>
      </c>
      <c r="C83" s="12">
        <v>0.49021799999999999</v>
      </c>
      <c r="D83" s="12">
        <v>0.48403400000000002</v>
      </c>
      <c r="E83" s="12">
        <v>0.60200149999999997</v>
      </c>
      <c r="F83" s="12">
        <v>0.51032900000000003</v>
      </c>
      <c r="G83" s="12"/>
      <c r="H83" s="12"/>
      <c r="I83" s="12"/>
      <c r="J83" s="12"/>
      <c r="K83" s="12"/>
      <c r="L83" s="1">
        <f t="shared" si="39"/>
        <v>0.51277890000000004</v>
      </c>
      <c r="M83" s="1">
        <f t="shared" si="40"/>
        <v>5.1380538244553235E-2</v>
      </c>
      <c r="N83" s="1">
        <f t="shared" si="41"/>
        <v>0.4613983617554468</v>
      </c>
      <c r="O83" s="1">
        <f t="shared" si="42"/>
        <v>0.56415943824455328</v>
      </c>
    </row>
    <row r="84" spans="1:15" ht="12.75" customHeight="1" x14ac:dyDescent="0.3">
      <c r="A84" s="1" t="s">
        <v>14</v>
      </c>
      <c r="B84" s="11">
        <v>3.5724779999999998</v>
      </c>
      <c r="C84" s="12">
        <v>3.8445849999999999</v>
      </c>
      <c r="D84" s="12">
        <v>4.1214599999999999</v>
      </c>
      <c r="E84" s="12">
        <v>5.3502064999999996</v>
      </c>
      <c r="F84" s="12">
        <v>4.1316689999999996</v>
      </c>
      <c r="G84" s="12"/>
      <c r="H84" s="12"/>
      <c r="I84" s="12"/>
      <c r="J84" s="12"/>
      <c r="K84" s="12"/>
      <c r="L84" s="1">
        <f t="shared" si="39"/>
        <v>4.2040796999999994</v>
      </c>
      <c r="M84" s="1">
        <f t="shared" si="40"/>
        <v>0.680777701006687</v>
      </c>
      <c r="N84" s="1">
        <f t="shared" si="41"/>
        <v>3.5233019989933125</v>
      </c>
      <c r="O84" s="1">
        <f t="shared" si="42"/>
        <v>4.8848574010066868</v>
      </c>
    </row>
    <row r="85" spans="1:15" ht="12.75" customHeight="1" x14ac:dyDescent="0.3">
      <c r="A85" s="1" t="s">
        <v>15</v>
      </c>
      <c r="B85" s="11">
        <v>0.10059999999999999</v>
      </c>
      <c r="C85" s="12">
        <v>0.37135000000000001</v>
      </c>
      <c r="D85" s="12">
        <v>0.125722</v>
      </c>
      <c r="E85" s="12">
        <v>4.6752000000000002E-2</v>
      </c>
      <c r="F85" s="12">
        <v>0.117922</v>
      </c>
      <c r="G85" s="12"/>
      <c r="H85" s="12"/>
      <c r="I85" s="12"/>
      <c r="J85" s="12"/>
      <c r="K85" s="12"/>
      <c r="L85" s="1">
        <f>AVERAGE(B85:K85)</f>
        <v>0.1524692</v>
      </c>
      <c r="M85" s="1">
        <f t="shared" si="40"/>
        <v>0.12617870920721927</v>
      </c>
      <c r="N85" s="1">
        <f t="shared" si="41"/>
        <v>2.629049079278073E-2</v>
      </c>
      <c r="O85" s="1">
        <f t="shared" si="42"/>
        <v>0.27864790920721927</v>
      </c>
    </row>
    <row r="86" spans="1:15" ht="12.75" customHeight="1" x14ac:dyDescent="0.3">
      <c r="A86" s="1" t="s">
        <v>16</v>
      </c>
      <c r="B86" s="11">
        <v>18.97</v>
      </c>
      <c r="C86" s="12">
        <v>17.64</v>
      </c>
      <c r="D86" s="12">
        <v>16.86</v>
      </c>
      <c r="E86" s="12">
        <v>17.77</v>
      </c>
      <c r="F86" s="12">
        <v>17.850000000000001</v>
      </c>
      <c r="G86" s="12"/>
      <c r="H86" s="12"/>
      <c r="I86" s="12"/>
      <c r="J86" s="12"/>
      <c r="K86" s="12"/>
      <c r="L86" s="1">
        <f>AVERAGE(B86:K86)</f>
        <v>17.818000000000001</v>
      </c>
      <c r="M86" s="9">
        <f>STDEV(B86:K86)</f>
        <v>0.7549635752802909</v>
      </c>
      <c r="N86" s="9">
        <f>L86-M86</f>
        <v>17.063036424719712</v>
      </c>
      <c r="O86" s="9">
        <f>L86+M86</f>
        <v>18.572963575280291</v>
      </c>
    </row>
    <row r="87" spans="1:15" ht="12.75" customHeight="1" x14ac:dyDescent="0.3">
      <c r="A87" s="1" t="s">
        <v>17</v>
      </c>
      <c r="B87" s="11">
        <v>1.1100000000000001</v>
      </c>
      <c r="C87" s="11">
        <v>1.08</v>
      </c>
      <c r="D87" s="11">
        <v>1.28</v>
      </c>
      <c r="E87" s="11">
        <v>1.06</v>
      </c>
      <c r="F87" s="11">
        <v>1.21</v>
      </c>
      <c r="G87" s="11"/>
      <c r="H87" s="11"/>
      <c r="I87" s="11"/>
      <c r="J87" s="11"/>
      <c r="K87" s="11"/>
      <c r="L87" s="9">
        <f t="shared" ref="L87" si="43">AVERAGE(B87:K87)</f>
        <v>1.1480000000000001</v>
      </c>
      <c r="M87" s="9">
        <f t="shared" ref="M87" si="44">STDEV(B87:K87)</f>
        <v>9.36482781475452E-2</v>
      </c>
      <c r="N87" s="9">
        <f>L87-M87</f>
        <v>1.054351721852455</v>
      </c>
      <c r="O87" s="9">
        <f>L87+M87</f>
        <v>1.2416482781475453</v>
      </c>
    </row>
    <row r="88" spans="1:15" ht="13.8" x14ac:dyDescent="0.3"/>
    <row r="90" spans="1:15" ht="13.8" x14ac:dyDescent="0.3">
      <c r="A90" s="2" t="s">
        <v>24</v>
      </c>
      <c r="B90" s="23" t="s">
        <v>25</v>
      </c>
      <c r="C90" s="23"/>
      <c r="D90" s="23"/>
      <c r="E90" s="23"/>
      <c r="F90" s="23"/>
      <c r="G90" s="23"/>
      <c r="H90" s="23"/>
      <c r="I90" s="23"/>
      <c r="J90" s="23"/>
      <c r="K90" s="23"/>
    </row>
    <row r="91" spans="1:15" ht="13.8" x14ac:dyDescent="0.3">
      <c r="B91" s="23" t="s">
        <v>2</v>
      </c>
      <c r="C91" s="23"/>
      <c r="D91" s="23"/>
      <c r="E91" s="23"/>
      <c r="F91" s="23"/>
      <c r="G91" s="23"/>
      <c r="H91" s="23"/>
      <c r="I91" s="23"/>
      <c r="J91" s="23"/>
      <c r="K91" s="23"/>
    </row>
    <row r="92" spans="1:15" ht="13.8" x14ac:dyDescent="0.3">
      <c r="A92" s="7" t="s">
        <v>4</v>
      </c>
      <c r="B92" s="7">
        <v>1</v>
      </c>
      <c r="C92" s="7">
        <v>2</v>
      </c>
      <c r="D92" s="7">
        <v>3</v>
      </c>
      <c r="E92" s="7">
        <v>4</v>
      </c>
      <c r="F92" s="7">
        <v>5</v>
      </c>
      <c r="G92" s="7">
        <v>7</v>
      </c>
      <c r="H92" s="7">
        <v>8</v>
      </c>
      <c r="I92" s="7">
        <v>9</v>
      </c>
      <c r="J92" s="7">
        <v>11</v>
      </c>
      <c r="K92" s="7">
        <v>12</v>
      </c>
      <c r="L92" s="7" t="s">
        <v>5</v>
      </c>
      <c r="M92" s="7" t="s">
        <v>6</v>
      </c>
      <c r="N92" s="7" t="s">
        <v>7</v>
      </c>
      <c r="O92" s="7" t="s">
        <v>8</v>
      </c>
    </row>
    <row r="93" spans="1:15" ht="12.75" customHeight="1" x14ac:dyDescent="0.3">
      <c r="A93" s="1" t="s">
        <v>10</v>
      </c>
      <c r="B93" s="11"/>
      <c r="C93" s="12"/>
      <c r="D93" s="12"/>
      <c r="E93" s="12"/>
      <c r="F93" s="12"/>
      <c r="G93" s="12"/>
      <c r="H93" s="12"/>
      <c r="I93" s="12"/>
      <c r="J93" s="12"/>
      <c r="K93" s="12"/>
      <c r="L93" s="1" t="e">
        <f>AVERAGE(B93:K93)</f>
        <v>#DIV/0!</v>
      </c>
      <c r="M93" s="1" t="e">
        <f>STDEV(B93:K93)</f>
        <v>#DIV/0!</v>
      </c>
      <c r="N93" s="1" t="e">
        <f>L93-M93</f>
        <v>#DIV/0!</v>
      </c>
      <c r="O93" s="1" t="e">
        <f>L93+M93</f>
        <v>#DIV/0!</v>
      </c>
    </row>
    <row r="94" spans="1:15" ht="12.75" customHeight="1" x14ac:dyDescent="0.3">
      <c r="A94" s="1" t="s">
        <v>12</v>
      </c>
      <c r="B94" s="11"/>
      <c r="C94" s="12"/>
      <c r="D94" s="12"/>
      <c r="E94" s="12"/>
      <c r="F94" s="12"/>
      <c r="G94" s="12"/>
      <c r="H94" s="12"/>
      <c r="I94" s="12"/>
      <c r="J94" s="12"/>
      <c r="K94" s="12"/>
      <c r="L94" s="1" t="e">
        <f t="shared" ref="L94:L96" si="45">AVERAGE(B94:K94)</f>
        <v>#DIV/0!</v>
      </c>
      <c r="M94" s="1" t="e">
        <f t="shared" ref="M94:M97" si="46">STDEV(B94:K94)</f>
        <v>#DIV/0!</v>
      </c>
      <c r="N94" s="1" t="e">
        <f t="shared" ref="N94:N97" si="47">L94-M94</f>
        <v>#DIV/0!</v>
      </c>
      <c r="O94" s="1" t="e">
        <f t="shared" ref="O94:O97" si="48">L94+M94</f>
        <v>#DIV/0!</v>
      </c>
    </row>
    <row r="95" spans="1:15" ht="12.75" customHeight="1" x14ac:dyDescent="0.3">
      <c r="A95" s="1" t="s">
        <v>13</v>
      </c>
      <c r="B95" s="11"/>
      <c r="C95" s="12"/>
      <c r="D95" s="12"/>
      <c r="E95" s="12"/>
      <c r="F95" s="12"/>
      <c r="G95" s="12"/>
      <c r="H95" s="12"/>
      <c r="I95" s="12"/>
      <c r="J95" s="12"/>
      <c r="K95" s="12"/>
      <c r="L95" s="1" t="e">
        <f t="shared" si="45"/>
        <v>#DIV/0!</v>
      </c>
      <c r="M95" s="1" t="e">
        <f t="shared" si="46"/>
        <v>#DIV/0!</v>
      </c>
      <c r="N95" s="1" t="e">
        <f t="shared" si="47"/>
        <v>#DIV/0!</v>
      </c>
      <c r="O95" s="1" t="e">
        <f t="shared" si="48"/>
        <v>#DIV/0!</v>
      </c>
    </row>
    <row r="96" spans="1:15" ht="12.75" customHeight="1" x14ac:dyDescent="0.3">
      <c r="A96" s="1" t="s">
        <v>14</v>
      </c>
      <c r="B96" s="11"/>
      <c r="C96" s="12"/>
      <c r="D96" s="12"/>
      <c r="E96" s="12"/>
      <c r="F96" s="12"/>
      <c r="G96" s="12"/>
      <c r="H96" s="12"/>
      <c r="I96" s="12"/>
      <c r="J96" s="12"/>
      <c r="K96" s="12"/>
      <c r="L96" s="1" t="e">
        <f t="shared" si="45"/>
        <v>#DIV/0!</v>
      </c>
      <c r="M96" s="1" t="e">
        <f t="shared" si="46"/>
        <v>#DIV/0!</v>
      </c>
      <c r="N96" s="1" t="e">
        <f t="shared" si="47"/>
        <v>#DIV/0!</v>
      </c>
      <c r="O96" s="1" t="e">
        <f t="shared" si="48"/>
        <v>#DIV/0!</v>
      </c>
    </row>
    <row r="97" spans="1:15" ht="12.75" customHeight="1" x14ac:dyDescent="0.3">
      <c r="A97" s="1" t="s">
        <v>15</v>
      </c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" t="e">
        <f>AVERAGE(B97:K97)</f>
        <v>#DIV/0!</v>
      </c>
      <c r="M97" s="1" t="e">
        <f t="shared" si="46"/>
        <v>#DIV/0!</v>
      </c>
      <c r="N97" s="1" t="e">
        <f t="shared" si="47"/>
        <v>#DIV/0!</v>
      </c>
      <c r="O97" s="1" t="e">
        <f t="shared" si="48"/>
        <v>#DIV/0!</v>
      </c>
    </row>
    <row r="98" spans="1:15" ht="12.75" customHeight="1" x14ac:dyDescent="0.3">
      <c r="A98" s="1" t="s">
        <v>16</v>
      </c>
      <c r="B98" s="11"/>
      <c r="C98" s="12"/>
      <c r="D98" s="12"/>
      <c r="E98" s="12"/>
      <c r="F98" s="12"/>
      <c r="G98" s="12"/>
      <c r="H98" s="12"/>
      <c r="I98" s="12"/>
      <c r="J98" s="12"/>
      <c r="K98" s="12"/>
      <c r="L98" s="1" t="e">
        <f>AVERAGE(B98:K98)</f>
        <v>#DIV/0!</v>
      </c>
      <c r="M98" s="9" t="e">
        <f>STDEV(B98:K98)</f>
        <v>#DIV/0!</v>
      </c>
      <c r="N98" s="9" t="e">
        <f>L98-M98</f>
        <v>#DIV/0!</v>
      </c>
      <c r="O98" s="9" t="e">
        <f>L98+M98</f>
        <v>#DIV/0!</v>
      </c>
    </row>
    <row r="99" spans="1:15" ht="12.75" customHeight="1" x14ac:dyDescent="0.3">
      <c r="A99" s="1" t="s">
        <v>17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9" t="e">
        <f t="shared" ref="L99" si="49">AVERAGE(B99:K99)</f>
        <v>#DIV/0!</v>
      </c>
      <c r="M99" s="9" t="e">
        <f t="shared" ref="M99" si="50">STDEV(B99:K99)</f>
        <v>#DIV/0!</v>
      </c>
      <c r="N99" s="9" t="e">
        <f>L99-M99</f>
        <v>#DIV/0!</v>
      </c>
      <c r="O99" s="9" t="e">
        <f>L99+M99</f>
        <v>#DIV/0!</v>
      </c>
    </row>
    <row r="100" spans="1:15" ht="13.8" x14ac:dyDescent="0.3"/>
    <row r="102" spans="1:15" ht="13.8" x14ac:dyDescent="0.3"/>
    <row r="103" spans="1:15" ht="13.95" customHeight="1" x14ac:dyDescent="0.3"/>
    <row r="104" spans="1:15" ht="13.8" x14ac:dyDescent="0.3"/>
    <row r="105" spans="1:15" ht="13.8" x14ac:dyDescent="0.3"/>
    <row r="106" spans="1:15" ht="13.8" x14ac:dyDescent="0.3"/>
    <row r="107" spans="1:15" ht="13.8" x14ac:dyDescent="0.3"/>
    <row r="108" spans="1:15" ht="13.8" x14ac:dyDescent="0.3"/>
    <row r="109" spans="1:15" ht="13.8" x14ac:dyDescent="0.3"/>
    <row r="110" spans="1:15" ht="13.8" x14ac:dyDescent="0.3"/>
    <row r="112" spans="1:15" ht="13.8" x14ac:dyDescent="0.3"/>
    <row r="114" ht="13.8" x14ac:dyDescent="0.3"/>
    <row r="115" ht="13.8" x14ac:dyDescent="0.3"/>
    <row r="116" ht="13.8" x14ac:dyDescent="0.3"/>
    <row r="124" ht="13.8" x14ac:dyDescent="0.3"/>
    <row r="126" ht="13.8" x14ac:dyDescent="0.3"/>
    <row r="127" ht="13.8" x14ac:dyDescent="0.3"/>
    <row r="128" ht="13.8" x14ac:dyDescent="0.3"/>
    <row r="134" ht="13.8" x14ac:dyDescent="0.3"/>
    <row r="136" ht="13.8" x14ac:dyDescent="0.3"/>
  </sheetData>
  <mergeCells count="16">
    <mergeCell ref="B78:K78"/>
    <mergeCell ref="B79:K79"/>
    <mergeCell ref="B90:K90"/>
    <mergeCell ref="B91:K91"/>
    <mergeCell ref="B40:K40"/>
    <mergeCell ref="B41:K41"/>
    <mergeCell ref="B52:K52"/>
    <mergeCell ref="B53:K53"/>
    <mergeCell ref="B64:K64"/>
    <mergeCell ref="B65:K65"/>
    <mergeCell ref="B28:K28"/>
    <mergeCell ref="B3:K3"/>
    <mergeCell ref="B4:K4"/>
    <mergeCell ref="B15:K15"/>
    <mergeCell ref="B16:K16"/>
    <mergeCell ref="B27:K27"/>
  </mergeCells>
  <conditionalFormatting sqref="B21:F21 H21:K21">
    <cfRule type="cellIs" dxfId="98" priority="60" operator="between">
      <formula>$N$21</formula>
      <formula>$O$21</formula>
    </cfRule>
  </conditionalFormatting>
  <conditionalFormatting sqref="B6:K6">
    <cfRule type="cellIs" dxfId="97" priority="70" operator="between">
      <formula>$N$6</formula>
      <formula>$O$6</formula>
    </cfRule>
  </conditionalFormatting>
  <conditionalFormatting sqref="B7:K7">
    <cfRule type="cellIs" dxfId="96" priority="69" operator="between">
      <formula>$N$7</formula>
      <formula>$O$7</formula>
    </cfRule>
  </conditionalFormatting>
  <conditionalFormatting sqref="B8:K8 L37:N37">
    <cfRule type="cellIs" dxfId="95" priority="68" operator="between">
      <formula>$N$8</formula>
      <formula>$O$8</formula>
    </cfRule>
  </conditionalFormatting>
  <conditionalFormatting sqref="B9:K9 B38:N38">
    <cfRule type="cellIs" dxfId="94" priority="67" operator="between">
      <formula>$N$9</formula>
      <formula>$O$9</formula>
    </cfRule>
  </conditionalFormatting>
  <conditionalFormatting sqref="B10:K10">
    <cfRule type="cellIs" dxfId="93" priority="64" operator="between">
      <formula>$N$10</formula>
      <formula>$O$10</formula>
    </cfRule>
  </conditionalFormatting>
  <conditionalFormatting sqref="B11:K11">
    <cfRule type="cellIs" dxfId="92" priority="58" operator="between">
      <formula>18.62</formula>
      <formula>20.62</formula>
    </cfRule>
  </conditionalFormatting>
  <conditionalFormatting sqref="B18:K18">
    <cfRule type="cellIs" dxfId="91" priority="63" operator="between">
      <formula>$N$18</formula>
      <formula>$O$18</formula>
    </cfRule>
  </conditionalFormatting>
  <conditionalFormatting sqref="B19:K19">
    <cfRule type="cellIs" dxfId="90" priority="62" operator="between">
      <formula>$N$19</formula>
      <formula>$O$19</formula>
    </cfRule>
  </conditionalFormatting>
  <conditionalFormatting sqref="B20:K20">
    <cfRule type="cellIs" dxfId="89" priority="61" operator="between">
      <formula>$N$20</formula>
      <formula>$O$20</formula>
    </cfRule>
  </conditionalFormatting>
  <conditionalFormatting sqref="B22:K22">
    <cfRule type="cellIs" dxfId="88" priority="59" operator="between">
      <formula>$N$22</formula>
      <formula>$O$22</formula>
    </cfRule>
  </conditionalFormatting>
  <conditionalFormatting sqref="B23:K23">
    <cfRule type="cellIs" dxfId="87" priority="51" operator="between">
      <formula>18.62</formula>
      <formula>20.62</formula>
    </cfRule>
  </conditionalFormatting>
  <conditionalFormatting sqref="B30:K30">
    <cfRule type="cellIs" dxfId="86" priority="56" operator="between">
      <formula>$N$30</formula>
      <formula>$O$30</formula>
    </cfRule>
  </conditionalFormatting>
  <conditionalFormatting sqref="B32:K32">
    <cfRule type="cellIs" dxfId="85" priority="54" operator="between">
      <formula>$N$32</formula>
      <formula>$O$32</formula>
    </cfRule>
  </conditionalFormatting>
  <conditionalFormatting sqref="B33:K33">
    <cfRule type="cellIs" dxfId="84" priority="53" operator="between">
      <formula>$N$33</formula>
      <formula>$O$33</formula>
    </cfRule>
  </conditionalFormatting>
  <conditionalFormatting sqref="B34:K34">
    <cfRule type="cellIs" dxfId="83" priority="52" operator="between">
      <formula>$N$34</formula>
      <formula>$O$34</formula>
    </cfRule>
  </conditionalFormatting>
  <conditionalFormatting sqref="B35:K35">
    <cfRule type="cellIs" dxfId="82" priority="57" operator="between">
      <formula>18.62</formula>
      <formula>20.62</formula>
    </cfRule>
  </conditionalFormatting>
  <conditionalFormatting sqref="B43:K43">
    <cfRule type="cellIs" dxfId="81" priority="76" operator="between">
      <formula>$N$43</formula>
      <formula>$O$43</formula>
    </cfRule>
  </conditionalFormatting>
  <conditionalFormatting sqref="B44:K44">
    <cfRule type="cellIs" dxfId="80" priority="80" operator="between">
      <formula>$N$44</formula>
      <formula>$O$44</formula>
    </cfRule>
  </conditionalFormatting>
  <conditionalFormatting sqref="B45:K45">
    <cfRule type="cellIs" dxfId="79" priority="77" operator="between">
      <formula>$N$45</formula>
      <formula>$O$45</formula>
    </cfRule>
  </conditionalFormatting>
  <conditionalFormatting sqref="B46:K46">
    <cfRule type="cellIs" dxfId="78" priority="78" operator="between">
      <formula>$N$46</formula>
      <formula>$O$46</formula>
    </cfRule>
  </conditionalFormatting>
  <conditionalFormatting sqref="B47:K47">
    <cfRule type="cellIs" dxfId="77" priority="79" operator="between">
      <formula>$N$47</formula>
      <formula>$O$47</formula>
    </cfRule>
  </conditionalFormatting>
  <conditionalFormatting sqref="B48:K48">
    <cfRule type="cellIs" dxfId="76" priority="46" operator="between">
      <formula>19.36</formula>
      <formula>20.36</formula>
    </cfRule>
  </conditionalFormatting>
  <conditionalFormatting sqref="B55:K55">
    <cfRule type="cellIs" dxfId="75" priority="50" operator="between">
      <formula>$N$55</formula>
      <formula>$O$55</formula>
    </cfRule>
  </conditionalFormatting>
  <conditionalFormatting sqref="B56:K56">
    <cfRule type="cellIs" dxfId="74" priority="45" operator="between">
      <formula>$N$56</formula>
      <formula>$O$56</formula>
    </cfRule>
  </conditionalFormatting>
  <conditionalFormatting sqref="B57:K57">
    <cfRule type="cellIs" dxfId="73" priority="44" operator="between">
      <formula>$N$57</formula>
      <formula>$O$57</formula>
    </cfRule>
  </conditionalFormatting>
  <conditionalFormatting sqref="B58:K58">
    <cfRule type="cellIs" dxfId="72" priority="43" operator="between">
      <formula>$N$58</formula>
      <formula>$O$58</formula>
    </cfRule>
  </conditionalFormatting>
  <conditionalFormatting sqref="B59:K59">
    <cfRule type="cellIs" dxfId="71" priority="42" operator="between">
      <formula>$N$59</formula>
      <formula>$O$59</formula>
    </cfRule>
  </conditionalFormatting>
  <conditionalFormatting sqref="B60:K60">
    <cfRule type="cellIs" dxfId="70" priority="41" operator="between">
      <formula>19.36</formula>
      <formula>21.36</formula>
    </cfRule>
  </conditionalFormatting>
  <conditionalFormatting sqref="B67:K67">
    <cfRule type="cellIs" dxfId="69" priority="40" operator="between">
      <formula>$N$67</formula>
      <formula>$O$67</formula>
    </cfRule>
  </conditionalFormatting>
  <conditionalFormatting sqref="B68:K68">
    <cfRule type="cellIs" dxfId="68" priority="39" operator="between">
      <formula>$N$68</formula>
      <formula>$O$68</formula>
    </cfRule>
  </conditionalFormatting>
  <conditionalFormatting sqref="B69:K69">
    <cfRule type="cellIs" dxfId="67" priority="38" operator="between">
      <formula>$N$69</formula>
      <formula>$O$69</formula>
    </cfRule>
  </conditionalFormatting>
  <conditionalFormatting sqref="B70:K70">
    <cfRule type="cellIs" dxfId="66" priority="48" operator="between">
      <formula>$N$70</formula>
      <formula>$O$70</formula>
    </cfRule>
  </conditionalFormatting>
  <conditionalFormatting sqref="B71:K71">
    <cfRule type="cellIs" dxfId="65" priority="47" operator="between">
      <formula>$N$71</formula>
      <formula>$O$71</formula>
    </cfRule>
  </conditionalFormatting>
  <conditionalFormatting sqref="B72:K72">
    <cfRule type="cellIs" dxfId="64" priority="49" operator="between">
      <formula>19.36</formula>
      <formula>21.36</formula>
    </cfRule>
  </conditionalFormatting>
  <conditionalFormatting sqref="B81:K81">
    <cfRule type="cellIs" dxfId="63" priority="22" operator="between">
      <formula>$N$81</formula>
      <formula>$O$81</formula>
    </cfRule>
  </conditionalFormatting>
  <conditionalFormatting sqref="B82:K82">
    <cfRule type="cellIs" dxfId="62" priority="21" operator="between">
      <formula>$N$82</formula>
      <formula>$O$82</formula>
    </cfRule>
  </conditionalFormatting>
  <conditionalFormatting sqref="B83:K83">
    <cfRule type="cellIs" dxfId="61" priority="31" operator="between">
      <formula>$N$83</formula>
      <formula>$O$83</formula>
    </cfRule>
  </conditionalFormatting>
  <conditionalFormatting sqref="B84:K84">
    <cfRule type="cellIs" dxfId="60" priority="30" operator="between">
      <formula>$N$84</formula>
      <formula>$O$84</formula>
    </cfRule>
  </conditionalFormatting>
  <conditionalFormatting sqref="B85:K85">
    <cfRule type="cellIs" dxfId="59" priority="29" operator="between">
      <formula>$N$85</formula>
      <formula>$O$85</formula>
    </cfRule>
  </conditionalFormatting>
  <conditionalFormatting sqref="B86:K86">
    <cfRule type="cellIs" dxfId="58" priority="37" operator="between">
      <formula>18.62</formula>
      <formula>20.62</formula>
    </cfRule>
  </conditionalFormatting>
  <conditionalFormatting sqref="B93:K93">
    <cfRule type="cellIs" dxfId="57" priority="28" operator="between">
      <formula>$N$93</formula>
      <formula>$O$93</formula>
    </cfRule>
  </conditionalFormatting>
  <conditionalFormatting sqref="B94:K94">
    <cfRule type="cellIs" dxfId="56" priority="27" operator="between">
      <formula>$N$94</formula>
      <formula>$O$94</formula>
    </cfRule>
  </conditionalFormatting>
  <conditionalFormatting sqref="B95:K95">
    <cfRule type="cellIs" dxfId="55" priority="26" operator="between">
      <formula>$N$95</formula>
      <formula>$O$95</formula>
    </cfRule>
  </conditionalFormatting>
  <conditionalFormatting sqref="B96:K96">
    <cfRule type="cellIs" dxfId="54" priority="25" operator="between">
      <formula>$N$96</formula>
      <formula>$O$96</formula>
    </cfRule>
  </conditionalFormatting>
  <conditionalFormatting sqref="B97:K97">
    <cfRule type="cellIs" dxfId="53" priority="24" operator="between">
      <formula>$N$97</formula>
      <formula>$O$97</formula>
    </cfRule>
  </conditionalFormatting>
  <conditionalFormatting sqref="B98:K98">
    <cfRule type="cellIs" dxfId="52" priority="35" operator="between">
      <formula>19.36</formula>
      <formula>21.36</formula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1:K31">
    <cfRule type="cellIs" dxfId="51" priority="55" operator="between">
      <formula>$N$31</formula>
      <formula>$O$31</formula>
    </cfRule>
  </conditionalFormatting>
  <conditionalFormatting sqref="G21">
    <cfRule type="cellIs" dxfId="50" priority="23" operator="between">
      <formula>$N$9</formula>
      <formula>$O$9</formula>
    </cfRule>
  </conditionalFormatting>
  <pageMargins left="0.75" right="0.75" top="1" bottom="1" header="0.5" footer="0.5"/>
  <pageSetup paperSize="9" orientation="portrait" horizontalDpi="4294967292" verticalDpi="42949672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6"/>
  <sheetViews>
    <sheetView topLeftCell="D1" zoomScaleNormal="100" workbookViewId="0">
      <selection activeCell="L12" sqref="L12"/>
    </sheetView>
  </sheetViews>
  <sheetFormatPr defaultColWidth="10.6328125" defaultRowHeight="12.75" customHeight="1" x14ac:dyDescent="0.3"/>
  <cols>
    <col min="1" max="1" width="19.54296875" style="1" customWidth="1"/>
    <col min="2" max="21" width="10.6328125" style="1"/>
    <col min="22" max="22" width="12.36328125" style="1" customWidth="1"/>
    <col min="23" max="16384" width="10.6328125" style="1"/>
  </cols>
  <sheetData>
    <row r="1" spans="1:22" ht="13.8" x14ac:dyDescent="0.3">
      <c r="A1" s="2"/>
      <c r="C1" s="2"/>
    </row>
    <row r="3" spans="1:22" ht="13.8" x14ac:dyDescent="0.3">
      <c r="A3" s="2" t="s">
        <v>0</v>
      </c>
      <c r="B3" s="24" t="s">
        <v>1</v>
      </c>
      <c r="C3" s="23"/>
      <c r="D3" s="23"/>
      <c r="E3" s="23"/>
      <c r="F3" s="23"/>
      <c r="G3" s="23"/>
      <c r="H3" s="23"/>
      <c r="I3" s="23"/>
      <c r="J3" s="23"/>
      <c r="K3" s="23"/>
      <c r="L3" s="7"/>
      <c r="M3" s="7"/>
      <c r="N3" s="7"/>
      <c r="O3" s="7"/>
    </row>
    <row r="4" spans="1:22" ht="13.8" x14ac:dyDescent="0.3">
      <c r="B4" s="24" t="s">
        <v>2</v>
      </c>
      <c r="C4" s="23"/>
      <c r="D4" s="23"/>
      <c r="E4" s="23"/>
      <c r="F4" s="23"/>
      <c r="G4" s="23"/>
      <c r="H4" s="23"/>
      <c r="I4" s="23"/>
      <c r="J4" s="23"/>
      <c r="K4" s="23"/>
      <c r="L4" s="7"/>
      <c r="M4" s="7"/>
      <c r="N4" s="7"/>
      <c r="O4" s="7"/>
      <c r="V4" s="2" t="s">
        <v>3</v>
      </c>
    </row>
    <row r="5" spans="1:22" ht="13.8" x14ac:dyDescent="0.3">
      <c r="A5" s="7" t="s">
        <v>4</v>
      </c>
      <c r="B5" s="13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/>
      <c r="M5" s="7" t="s">
        <v>5</v>
      </c>
      <c r="N5" s="7" t="s">
        <v>6</v>
      </c>
      <c r="O5" s="7" t="s">
        <v>7</v>
      </c>
      <c r="P5" s="7" t="s">
        <v>8</v>
      </c>
      <c r="S5" s="2" t="s">
        <v>9</v>
      </c>
      <c r="T5" s="1">
        <v>110</v>
      </c>
      <c r="U5" s="1">
        <v>430</v>
      </c>
    </row>
    <row r="6" spans="1:22" ht="14.4" x14ac:dyDescent="0.3">
      <c r="A6" s="1" t="s">
        <v>10</v>
      </c>
      <c r="B6" s="1">
        <v>1.8201700000000001</v>
      </c>
      <c r="C6" s="8">
        <v>1.2271510000000001</v>
      </c>
      <c r="D6" s="8">
        <v>1.962429</v>
      </c>
      <c r="E6" s="8">
        <v>1.2271510000000001</v>
      </c>
      <c r="F6" s="8">
        <v>1.3093779999999999</v>
      </c>
      <c r="G6" s="8">
        <v>1.8201700000000001</v>
      </c>
      <c r="H6" s="8">
        <v>1.599499</v>
      </c>
      <c r="I6" s="8">
        <v>1.8201700000000001</v>
      </c>
      <c r="J6" s="8">
        <v>1.7666930000000001</v>
      </c>
      <c r="K6" s="8">
        <v>1.55189</v>
      </c>
      <c r="L6" s="8"/>
      <c r="M6" s="1">
        <f>AVERAGE(B6:K6)</f>
        <v>1.6104700999999999</v>
      </c>
      <c r="N6" s="1">
        <f>STDEV(B6:K6)</f>
        <v>0.2724943050652423</v>
      </c>
      <c r="O6" s="1">
        <f>M6-N6</f>
        <v>1.3379757949347577</v>
      </c>
      <c r="P6" s="1">
        <f>M6+N6</f>
        <v>1.8829644050652421</v>
      </c>
      <c r="S6" s="2" t="s">
        <v>11</v>
      </c>
      <c r="T6" s="3"/>
      <c r="U6" s="4"/>
    </row>
    <row r="7" spans="1:22" ht="14.4" x14ac:dyDescent="0.3">
      <c r="A7" s="1" t="s">
        <v>12</v>
      </c>
      <c r="B7" s="8">
        <v>21.274868000000001</v>
      </c>
      <c r="C7" s="8">
        <v>20.890311000000001</v>
      </c>
      <c r="D7" s="1">
        <v>15.493563999999999</v>
      </c>
      <c r="E7" s="8">
        <v>20.890311000000001</v>
      </c>
      <c r="F7" s="8">
        <v>19.56672</v>
      </c>
      <c r="G7" s="8">
        <v>21.247868</v>
      </c>
      <c r="H7" s="8">
        <v>20.708925000000001</v>
      </c>
      <c r="I7" s="8">
        <v>21.247868</v>
      </c>
      <c r="J7" s="8">
        <v>18.263204000000002</v>
      </c>
      <c r="K7" s="8">
        <v>21.688611000000002</v>
      </c>
      <c r="L7" s="8"/>
      <c r="M7" s="1">
        <f t="shared" ref="M7:M12" si="0">AVERAGE(B7:K7)</f>
        <v>20.127225000000003</v>
      </c>
      <c r="N7" s="1">
        <f t="shared" ref="N7:N12" si="1">STDEV(B7:K7)</f>
        <v>1.915701842566728</v>
      </c>
      <c r="O7" s="1">
        <f t="shared" ref="O7:O10" si="2">M7-N7</f>
        <v>18.211523157433273</v>
      </c>
      <c r="P7" s="1">
        <f t="shared" ref="P7:P10" si="3">M7+N7</f>
        <v>22.042926842566732</v>
      </c>
      <c r="S7" s="1" t="s">
        <v>10</v>
      </c>
      <c r="T7" s="6"/>
      <c r="U7" s="6"/>
    </row>
    <row r="8" spans="1:22" ht="14.4" x14ac:dyDescent="0.3">
      <c r="A8" s="1" t="s">
        <v>13</v>
      </c>
      <c r="B8" s="8">
        <v>0.464561</v>
      </c>
      <c r="C8" s="8">
        <v>0.49021799999999999</v>
      </c>
      <c r="D8" s="1">
        <v>0.45555000000000001</v>
      </c>
      <c r="E8" s="8">
        <v>0.49021799999999999</v>
      </c>
      <c r="F8" s="1">
        <v>0.55904849999999995</v>
      </c>
      <c r="G8" s="1">
        <v>0.464561</v>
      </c>
      <c r="H8" s="1">
        <v>0.49673099999999998</v>
      </c>
      <c r="I8" s="1">
        <v>0.464561</v>
      </c>
      <c r="J8" s="1">
        <v>0.462648</v>
      </c>
      <c r="K8" s="1">
        <v>0.49732467089843702</v>
      </c>
      <c r="M8" s="1">
        <f t="shared" si="0"/>
        <v>0.48454211708984368</v>
      </c>
      <c r="N8" s="1">
        <f t="shared" si="1"/>
        <v>3.063263559852944E-2</v>
      </c>
      <c r="O8" s="1">
        <f t="shared" si="2"/>
        <v>0.45390948149131427</v>
      </c>
      <c r="P8" s="1">
        <f t="shared" si="3"/>
        <v>0.51517475268837309</v>
      </c>
      <c r="S8" s="1" t="s">
        <v>12</v>
      </c>
      <c r="T8" s="6"/>
      <c r="U8" s="6"/>
    </row>
    <row r="9" spans="1:22" ht="14.4" x14ac:dyDescent="0.3">
      <c r="A9" s="1" t="s">
        <v>14</v>
      </c>
      <c r="B9" s="8">
        <v>3.623726</v>
      </c>
      <c r="C9" s="8">
        <v>3.8445849999999999</v>
      </c>
      <c r="D9" s="8">
        <v>4.0745915000000004</v>
      </c>
      <c r="E9" s="8">
        <v>3.8445849999999999</v>
      </c>
      <c r="F9" s="1">
        <v>5.5254807499999998</v>
      </c>
      <c r="G9" s="1">
        <v>3.623726</v>
      </c>
      <c r="H9" s="1">
        <v>3.9047339999999999</v>
      </c>
      <c r="I9" s="1">
        <v>3.623726</v>
      </c>
      <c r="J9" s="1">
        <v>3.8174160000000001</v>
      </c>
      <c r="K9" s="1">
        <v>3.8524890400390599</v>
      </c>
      <c r="M9" s="1">
        <f t="shared" si="0"/>
        <v>3.9735059290039061</v>
      </c>
      <c r="N9" s="1">
        <f t="shared" si="1"/>
        <v>0.56399981060988902</v>
      </c>
      <c r="O9" s="1">
        <f t="shared" si="2"/>
        <v>3.4095061183940172</v>
      </c>
      <c r="P9" s="1">
        <f t="shared" si="3"/>
        <v>4.5375057396137954</v>
      </c>
      <c r="S9" s="1" t="s">
        <v>13</v>
      </c>
      <c r="T9" s="6"/>
      <c r="U9" s="6"/>
    </row>
    <row r="10" spans="1:22" ht="14.4" x14ac:dyDescent="0.3">
      <c r="A10" s="1" t="s">
        <v>15</v>
      </c>
      <c r="B10" s="1">
        <v>5.9542999999999999E-2</v>
      </c>
      <c r="C10" s="8">
        <v>0.37135000000000001</v>
      </c>
      <c r="D10" s="1">
        <v>6.4195500000000003E-2</v>
      </c>
      <c r="E10" s="8">
        <v>0.37135000000000001</v>
      </c>
      <c r="F10" s="8">
        <v>1.8966500000000001E-2</v>
      </c>
      <c r="G10" s="8">
        <v>5.9542999999999999E-2</v>
      </c>
      <c r="H10" s="8">
        <v>8.5707000000000005E-2</v>
      </c>
      <c r="I10" s="8">
        <v>5.9542999999999999E-2</v>
      </c>
      <c r="J10" s="8">
        <v>9.0193999999999996E-2</v>
      </c>
      <c r="K10" s="8">
        <v>9.3798170898437505E-2</v>
      </c>
      <c r="L10" s="8"/>
      <c r="M10" s="1">
        <f t="shared" si="0"/>
        <v>0.12741901708984374</v>
      </c>
      <c r="N10" s="1">
        <f t="shared" si="1"/>
        <v>0.13031637872542415</v>
      </c>
      <c r="O10" s="1">
        <f t="shared" si="2"/>
        <v>-2.8973616355804088E-3</v>
      </c>
      <c r="P10" s="1">
        <f t="shared" si="3"/>
        <v>0.25773539581526789</v>
      </c>
      <c r="S10" s="1" t="s">
        <v>14</v>
      </c>
      <c r="T10" s="6"/>
      <c r="U10" s="6"/>
    </row>
    <row r="11" spans="1:22" ht="14.4" x14ac:dyDescent="0.3">
      <c r="A11" s="1" t="s">
        <v>16</v>
      </c>
      <c r="B11" s="9">
        <v>20.98</v>
      </c>
      <c r="C11" s="9">
        <v>19.34</v>
      </c>
      <c r="D11" s="9">
        <v>15.43</v>
      </c>
      <c r="E11" s="9">
        <v>20.98</v>
      </c>
      <c r="F11" s="9">
        <v>17.21</v>
      </c>
      <c r="G11" s="9">
        <v>18.32</v>
      </c>
      <c r="H11" s="9">
        <v>18.079999999999998</v>
      </c>
      <c r="I11" s="9">
        <v>18.5</v>
      </c>
      <c r="J11" s="9">
        <v>18.68</v>
      </c>
      <c r="K11" s="9">
        <v>17.989999999999998</v>
      </c>
      <c r="L11" s="9"/>
      <c r="M11" s="9">
        <f>AVERAGE(B11:K11)</f>
        <v>18.550999999999998</v>
      </c>
      <c r="N11" s="9">
        <f>STDEV(B11:K11)</f>
        <v>1.652294364411701</v>
      </c>
      <c r="O11" s="9">
        <f>M11-N11</f>
        <v>16.898705635588296</v>
      </c>
      <c r="P11" s="9">
        <f>M11+N11</f>
        <v>20.2032943644117</v>
      </c>
      <c r="T11" s="6"/>
      <c r="U11" s="6"/>
    </row>
    <row r="12" spans="1:22" ht="14.4" x14ac:dyDescent="0.3">
      <c r="A12" s="1" t="s">
        <v>17</v>
      </c>
      <c r="B12" s="9">
        <v>1.28</v>
      </c>
      <c r="C12" s="9">
        <v>1.07</v>
      </c>
      <c r="D12" s="9">
        <v>0.995</v>
      </c>
      <c r="E12" s="9">
        <v>1.06</v>
      </c>
      <c r="F12" s="9">
        <v>1.24</v>
      </c>
      <c r="G12" s="9">
        <v>1.27</v>
      </c>
      <c r="H12" s="9">
        <v>1.2</v>
      </c>
      <c r="I12" s="9">
        <v>1.07</v>
      </c>
      <c r="J12" s="9">
        <v>1.1599999999999999</v>
      </c>
      <c r="K12" s="9">
        <v>1.23</v>
      </c>
      <c r="L12" s="9"/>
      <c r="M12" s="9">
        <f t="shared" si="0"/>
        <v>1.1575000000000002</v>
      </c>
      <c r="N12" s="9">
        <f t="shared" si="1"/>
        <v>0.10152312270829952</v>
      </c>
      <c r="O12" s="9">
        <f>M12-N12</f>
        <v>1.0559768772917006</v>
      </c>
      <c r="P12" s="9">
        <f>M12+N12</f>
        <v>1.2590231227082997</v>
      </c>
      <c r="S12" s="1" t="s">
        <v>15</v>
      </c>
      <c r="T12" s="6"/>
      <c r="U12" s="6"/>
    </row>
    <row r="13" spans="1:22" ht="13.8" x14ac:dyDescent="0.3">
      <c r="S13" s="1" t="s">
        <v>19</v>
      </c>
    </row>
    <row r="14" spans="1:22" ht="13.8" x14ac:dyDescent="0.3"/>
    <row r="15" spans="1:22" ht="13.8" x14ac:dyDescent="0.3">
      <c r="A15" s="2" t="s">
        <v>20</v>
      </c>
      <c r="B15" s="23" t="s">
        <v>1</v>
      </c>
      <c r="C15" s="23"/>
      <c r="D15" s="23"/>
      <c r="E15" s="23"/>
      <c r="F15" s="23"/>
      <c r="G15" s="23"/>
      <c r="H15" s="23"/>
      <c r="I15" s="23"/>
      <c r="J15" s="23"/>
      <c r="K15" s="23"/>
      <c r="L15" s="7"/>
    </row>
    <row r="16" spans="1:22" ht="12.75" customHeight="1" x14ac:dyDescent="0.3">
      <c r="B16" s="23" t="s">
        <v>2</v>
      </c>
      <c r="C16" s="23"/>
      <c r="D16" s="23"/>
      <c r="E16" s="23"/>
      <c r="F16" s="23"/>
      <c r="G16" s="23"/>
      <c r="H16" s="23"/>
      <c r="I16" s="23"/>
      <c r="J16" s="23"/>
      <c r="K16" s="23"/>
      <c r="L16" s="7"/>
    </row>
    <row r="17" spans="1:19" ht="13.8" x14ac:dyDescent="0.3">
      <c r="A17" s="7" t="s">
        <v>4</v>
      </c>
      <c r="B17" s="7">
        <v>1</v>
      </c>
      <c r="C17" s="7">
        <v>2</v>
      </c>
      <c r="D17" s="13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/>
      <c r="M17" s="7" t="s">
        <v>5</v>
      </c>
      <c r="N17" s="7" t="s">
        <v>6</v>
      </c>
      <c r="O17" s="7" t="s">
        <v>7</v>
      </c>
      <c r="P17" s="7" t="s">
        <v>8</v>
      </c>
    </row>
    <row r="18" spans="1:19" ht="14.4" x14ac:dyDescent="0.3">
      <c r="A18" s="1" t="s">
        <v>10</v>
      </c>
      <c r="B18" s="11">
        <v>1.4703630000000001</v>
      </c>
      <c r="C18" s="12">
        <v>1.2271510000000001</v>
      </c>
      <c r="D18" s="12">
        <v>1.599499</v>
      </c>
      <c r="E18" s="12">
        <v>1.2271510000000001</v>
      </c>
      <c r="F18" s="12">
        <v>1.2271510000000001</v>
      </c>
      <c r="G18" s="12">
        <v>1.2271510000000001</v>
      </c>
      <c r="H18" s="12">
        <v>1.596166</v>
      </c>
      <c r="I18" s="12">
        <v>1.8201700000000001</v>
      </c>
      <c r="J18" s="12">
        <v>1.7666930000000001</v>
      </c>
      <c r="K18" s="11">
        <v>1.599499</v>
      </c>
      <c r="L18" s="11"/>
      <c r="M18" s="1">
        <f>AVERAGE(B18:K18)</f>
        <v>1.4760993999999998</v>
      </c>
      <c r="N18" s="1">
        <f>STDEV(B18:K18)</f>
        <v>0.23467098927751873</v>
      </c>
      <c r="O18" s="1">
        <f>M18-N18</f>
        <v>1.2414284107224811</v>
      </c>
      <c r="P18" s="1">
        <f>M18+N18</f>
        <v>1.7107703892775186</v>
      </c>
    </row>
    <row r="19" spans="1:19" ht="14.4" x14ac:dyDescent="0.3">
      <c r="A19" s="1" t="s">
        <v>12</v>
      </c>
      <c r="B19" s="11">
        <v>18.034648000000001</v>
      </c>
      <c r="C19" s="12">
        <v>20.890311000000001</v>
      </c>
      <c r="D19" s="12">
        <v>20.708925000000001</v>
      </c>
      <c r="E19" s="12">
        <v>20.890311000000001</v>
      </c>
      <c r="F19" s="12">
        <v>20.890311000000001</v>
      </c>
      <c r="G19" s="12">
        <v>20.890311000000001</v>
      </c>
      <c r="H19" s="12">
        <v>14.865836</v>
      </c>
      <c r="I19" s="12">
        <v>21.247868</v>
      </c>
      <c r="J19" s="12">
        <v>18.263204000000002</v>
      </c>
      <c r="K19" s="11">
        <v>20.708925000000001</v>
      </c>
      <c r="L19" s="11"/>
      <c r="M19" s="1">
        <f t="shared" ref="M19:M22" si="4">AVERAGE(B19:K19)</f>
        <v>19.739065</v>
      </c>
      <c r="N19" s="1">
        <f t="shared" ref="N19:N22" si="5">STDEV(B19:K19)</f>
        <v>2.0626513851438881</v>
      </c>
      <c r="O19" s="1">
        <f t="shared" ref="O19:O22" si="6">M19-N19</f>
        <v>17.676413614856113</v>
      </c>
      <c r="P19" s="1">
        <f t="shared" ref="P19:P22" si="7">M19+N19</f>
        <v>21.801716385143887</v>
      </c>
    </row>
    <row r="20" spans="1:19" ht="14.4" x14ac:dyDescent="0.3">
      <c r="A20" s="1" t="s">
        <v>13</v>
      </c>
      <c r="B20" s="11">
        <v>0.49103049999999998</v>
      </c>
      <c r="C20" s="12">
        <v>0.49021799999999999</v>
      </c>
      <c r="D20" s="12">
        <v>0.49673099999999998</v>
      </c>
      <c r="E20" s="12">
        <v>0.49021799999999999</v>
      </c>
      <c r="F20" s="12">
        <v>0.49021799999999999</v>
      </c>
      <c r="G20" s="12">
        <v>0.49021799999999999</v>
      </c>
      <c r="H20" s="12">
        <v>0.46103549999999999</v>
      </c>
      <c r="I20" s="12">
        <v>0.464561</v>
      </c>
      <c r="J20" s="12">
        <v>0.462648</v>
      </c>
      <c r="K20" s="11">
        <v>0.49673099999999998</v>
      </c>
      <c r="L20" s="11"/>
      <c r="M20" s="1">
        <f t="shared" si="4"/>
        <v>0.48336089999999993</v>
      </c>
      <c r="N20" s="1">
        <f t="shared" si="5"/>
        <v>1.4473366902310211E-2</v>
      </c>
      <c r="O20" s="1">
        <f t="shared" si="6"/>
        <v>0.46888753309768971</v>
      </c>
      <c r="P20" s="1">
        <f t="shared" si="7"/>
        <v>0.49783426690231014</v>
      </c>
      <c r="S20" s="1" t="s">
        <v>30</v>
      </c>
    </row>
    <row r="21" spans="1:19" ht="13.65" customHeight="1" x14ac:dyDescent="0.3">
      <c r="A21" s="1" t="s">
        <v>14</v>
      </c>
      <c r="B21" s="11">
        <v>3.9582044999999999</v>
      </c>
      <c r="C21" s="12">
        <v>3.8445849999999999</v>
      </c>
      <c r="D21" s="12">
        <v>3.9047339999999999</v>
      </c>
      <c r="E21" s="12">
        <v>3.8445849999999999</v>
      </c>
      <c r="F21" s="12">
        <v>3.8445849999999999</v>
      </c>
      <c r="G21" s="12">
        <v>3.8445849999999999</v>
      </c>
      <c r="H21" s="12">
        <v>3.9263165</v>
      </c>
      <c r="I21" s="12">
        <v>3.623726</v>
      </c>
      <c r="J21" s="12">
        <v>3.8174160000000001</v>
      </c>
      <c r="K21" s="11">
        <v>3.9047339999999999</v>
      </c>
      <c r="L21" s="11"/>
      <c r="M21" s="1">
        <f t="shared" si="4"/>
        <v>3.8513470999999995</v>
      </c>
      <c r="N21" s="1">
        <f t="shared" si="5"/>
        <v>9.1824001795947754E-2</v>
      </c>
      <c r="O21" s="1">
        <f t="shared" si="6"/>
        <v>3.7595230982040517</v>
      </c>
      <c r="P21" s="1">
        <f t="shared" si="7"/>
        <v>3.9431711017959472</v>
      </c>
      <c r="S21" s="1" t="s">
        <v>31</v>
      </c>
    </row>
    <row r="22" spans="1:19" ht="14.4" x14ac:dyDescent="0.3">
      <c r="A22" s="1" t="s">
        <v>15</v>
      </c>
      <c r="B22" s="11">
        <v>9.6977499999999994E-2</v>
      </c>
      <c r="C22" s="12">
        <v>3.7135000000000001E-2</v>
      </c>
      <c r="D22" s="12">
        <v>8.5707000000000005E-2</v>
      </c>
      <c r="E22" s="12">
        <v>3.7135000000000001E-2</v>
      </c>
      <c r="F22" s="12">
        <v>3.7135000000000001E-2</v>
      </c>
      <c r="G22" s="1">
        <v>3.7135000000000001E-2</v>
      </c>
      <c r="H22" s="12">
        <v>9.0515499999999999E-2</v>
      </c>
      <c r="I22" s="12">
        <v>5.9542999999999999E-2</v>
      </c>
      <c r="J22" s="12">
        <v>9.0193999999999996E-2</v>
      </c>
      <c r="K22" s="11">
        <v>8.5707000000000005E-2</v>
      </c>
      <c r="L22" s="11"/>
      <c r="M22" s="1">
        <f t="shared" si="4"/>
        <v>6.5718399999999996E-2</v>
      </c>
      <c r="N22" s="1">
        <f t="shared" si="5"/>
        <v>2.6449846342548843E-2</v>
      </c>
      <c r="O22" s="1">
        <f t="shared" si="6"/>
        <v>3.9268553657451154E-2</v>
      </c>
      <c r="P22" s="1">
        <f t="shared" si="7"/>
        <v>9.2168246342548832E-2</v>
      </c>
    </row>
    <row r="23" spans="1:19" ht="14.4" x14ac:dyDescent="0.3">
      <c r="A23" s="1" t="s">
        <v>16</v>
      </c>
      <c r="B23" s="11">
        <v>1.01</v>
      </c>
      <c r="C23" s="12">
        <v>16.27</v>
      </c>
      <c r="D23" s="12">
        <v>16.55</v>
      </c>
      <c r="E23" s="12">
        <v>17.34</v>
      </c>
      <c r="F23" s="12">
        <v>17.579999999999998</v>
      </c>
      <c r="G23" s="12">
        <v>15.89</v>
      </c>
      <c r="H23" s="12">
        <v>15.33</v>
      </c>
      <c r="I23" s="12">
        <v>15.57</v>
      </c>
      <c r="J23" s="12">
        <v>15.57</v>
      </c>
      <c r="K23" s="11">
        <v>16.440000000000001</v>
      </c>
      <c r="L23" s="11"/>
      <c r="M23" s="9">
        <f>AVERAGE(B23:K23)</f>
        <v>14.754999999999999</v>
      </c>
      <c r="N23" s="9">
        <f>STDEV(B23:K23)</f>
        <v>4.8863943762246675</v>
      </c>
      <c r="O23" s="9">
        <f>M23-N23</f>
        <v>9.8686056237753306</v>
      </c>
      <c r="P23" s="9">
        <f>M23+N23</f>
        <v>19.641394376224667</v>
      </c>
    </row>
    <row r="24" spans="1:19" ht="13.8" x14ac:dyDescent="0.3">
      <c r="A24" s="1" t="s">
        <v>17</v>
      </c>
      <c r="B24" s="11">
        <v>16.07</v>
      </c>
      <c r="C24" s="11">
        <v>1.06</v>
      </c>
      <c r="D24" s="11">
        <v>1.26</v>
      </c>
      <c r="E24" s="11">
        <v>1.06</v>
      </c>
      <c r="F24" s="11">
        <v>1.27</v>
      </c>
      <c r="G24" s="11">
        <v>1.22</v>
      </c>
      <c r="H24" s="11">
        <v>1.18</v>
      </c>
      <c r="I24" s="11">
        <v>1.07</v>
      </c>
      <c r="J24" s="11">
        <v>1.1599999999999999</v>
      </c>
      <c r="K24" s="11">
        <v>1.27</v>
      </c>
      <c r="L24" s="11"/>
      <c r="M24" s="9">
        <f t="shared" ref="M24" si="8">AVERAGE(B24:K24)</f>
        <v>2.6619999999999999</v>
      </c>
      <c r="N24" s="9">
        <f t="shared" ref="N24" si="9">STDEV(B24:K24)</f>
        <v>4.7118569116172839</v>
      </c>
      <c r="O24" s="9">
        <f>M24-N24</f>
        <v>-2.049856911617284</v>
      </c>
      <c r="P24" s="9">
        <f>M24+N24</f>
        <v>7.3738569116172838</v>
      </c>
    </row>
    <row r="25" spans="1:19" ht="14.4" x14ac:dyDescent="0.3">
      <c r="C25" s="10"/>
      <c r="E25" s="10"/>
      <c r="F25" s="10"/>
      <c r="G25" s="10"/>
      <c r="H25" s="10"/>
      <c r="I25" s="10"/>
      <c r="J25" s="10"/>
      <c r="K25" s="10"/>
      <c r="L25" s="10"/>
    </row>
    <row r="26" spans="1:19" ht="13.8" x14ac:dyDescent="0.3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9" ht="13.8" x14ac:dyDescent="0.3">
      <c r="A27" s="2" t="s">
        <v>21</v>
      </c>
      <c r="B27" s="23" t="s">
        <v>1</v>
      </c>
      <c r="C27" s="23"/>
      <c r="D27" s="23"/>
      <c r="E27" s="23"/>
      <c r="F27" s="23"/>
      <c r="G27" s="23"/>
      <c r="H27" s="23"/>
      <c r="I27" s="23"/>
      <c r="J27" s="23"/>
      <c r="K27" s="23"/>
      <c r="L27" s="7"/>
    </row>
    <row r="28" spans="1:19" ht="13.8" x14ac:dyDescent="0.3">
      <c r="B28" s="23" t="s">
        <v>2</v>
      </c>
      <c r="C28" s="23"/>
      <c r="D28" s="23"/>
      <c r="E28" s="23"/>
      <c r="F28" s="23"/>
      <c r="G28" s="23"/>
      <c r="H28" s="23"/>
      <c r="I28" s="23"/>
      <c r="J28" s="23"/>
      <c r="K28" s="23"/>
      <c r="L28" s="7"/>
    </row>
    <row r="29" spans="1:19" ht="15.75" customHeight="1" x14ac:dyDescent="0.3">
      <c r="A29" s="7" t="s">
        <v>4</v>
      </c>
      <c r="B29" s="7">
        <v>1</v>
      </c>
      <c r="C29" s="7">
        <v>2</v>
      </c>
      <c r="D29" s="13">
        <v>3</v>
      </c>
      <c r="E29" s="7">
        <v>4</v>
      </c>
      <c r="F29" s="7">
        <v>5</v>
      </c>
      <c r="G29" s="7">
        <v>6</v>
      </c>
      <c r="H29" s="14">
        <v>7</v>
      </c>
      <c r="I29" s="7">
        <v>8</v>
      </c>
      <c r="J29" s="7">
        <v>9</v>
      </c>
      <c r="K29" s="7">
        <v>10</v>
      </c>
      <c r="L29" s="7"/>
      <c r="M29" s="7" t="s">
        <v>5</v>
      </c>
      <c r="N29" s="7" t="s">
        <v>6</v>
      </c>
      <c r="O29" s="7" t="s">
        <v>7</v>
      </c>
      <c r="P29" s="7" t="s">
        <v>8</v>
      </c>
    </row>
    <row r="30" spans="1:19" ht="14.4" x14ac:dyDescent="0.3">
      <c r="A30" s="1" t="s">
        <v>10</v>
      </c>
      <c r="B30" s="11">
        <v>1.2473719999999999</v>
      </c>
      <c r="C30" s="12">
        <v>1.2271510000000001</v>
      </c>
      <c r="D30" s="12">
        <v>1.599499</v>
      </c>
      <c r="E30" s="12">
        <v>1.2271510000000001</v>
      </c>
      <c r="F30" s="12">
        <v>1.2271510000000001</v>
      </c>
      <c r="G30" s="12">
        <v>1.2843359999999999</v>
      </c>
      <c r="H30" s="12">
        <v>1.599499</v>
      </c>
      <c r="I30" s="12">
        <v>1.8201700000000001</v>
      </c>
      <c r="J30" s="12">
        <v>1.7666930000000001</v>
      </c>
      <c r="K30" s="12">
        <v>1.7680439999999999</v>
      </c>
      <c r="L30" s="12"/>
      <c r="M30" s="1">
        <f>AVERAGE(B30:K30)</f>
        <v>1.4767066</v>
      </c>
      <c r="N30" s="1">
        <f>STDEV(B30:K30)</f>
        <v>0.25680244156298698</v>
      </c>
      <c r="O30" s="1">
        <f>M30-N30</f>
        <v>1.2199041584370129</v>
      </c>
      <c r="P30" s="1">
        <f>M30+N30</f>
        <v>1.733509041562987</v>
      </c>
    </row>
    <row r="31" spans="1:19" ht="14.4" x14ac:dyDescent="0.3">
      <c r="A31" s="1" t="s">
        <v>12</v>
      </c>
      <c r="B31" s="11">
        <v>13.819858</v>
      </c>
      <c r="C31" s="12">
        <v>20.890311000000001</v>
      </c>
      <c r="D31" s="12">
        <v>20.708925000000001</v>
      </c>
      <c r="E31" s="12">
        <v>20.890311000000001</v>
      </c>
      <c r="F31" s="12">
        <v>20.890311000000001</v>
      </c>
      <c r="G31" s="12">
        <v>17.335809699999999</v>
      </c>
      <c r="H31" s="12">
        <v>20.708925000000001</v>
      </c>
      <c r="I31" s="12">
        <v>21.247868</v>
      </c>
      <c r="J31" s="12">
        <v>18.263204000000002</v>
      </c>
      <c r="K31" s="12">
        <v>17.213097000000001</v>
      </c>
      <c r="L31" s="12"/>
      <c r="M31" s="1">
        <f t="shared" ref="M31:M33" si="10">AVERAGE(B31:K31)</f>
        <v>19.19686197</v>
      </c>
      <c r="N31" s="1">
        <f t="shared" ref="N31:N34" si="11">STDEV(B31:K31)</f>
        <v>2.4622783421122953</v>
      </c>
      <c r="O31" s="1">
        <f t="shared" ref="O31:O34" si="12">M31-N31</f>
        <v>16.734583627887705</v>
      </c>
      <c r="P31" s="1">
        <f t="shared" ref="P31:P34" si="13">M31+N31</f>
        <v>21.659140312112296</v>
      </c>
    </row>
    <row r="32" spans="1:19" ht="12.75" customHeight="1" x14ac:dyDescent="0.3">
      <c r="A32" s="1" t="s">
        <v>13</v>
      </c>
      <c r="B32" s="11">
        <v>0.51566900000000004</v>
      </c>
      <c r="C32" s="12">
        <v>0.49021799999999999</v>
      </c>
      <c r="D32" s="12">
        <v>0.49673099999999998</v>
      </c>
      <c r="E32" s="12">
        <v>0.49021799999999999</v>
      </c>
      <c r="F32" s="12">
        <v>0.49021799999999999</v>
      </c>
      <c r="G32" s="12">
        <v>0.47994249999999999</v>
      </c>
      <c r="H32" s="12">
        <v>0.49673099999999998</v>
      </c>
      <c r="I32" s="12">
        <v>0.464561</v>
      </c>
      <c r="J32" s="12">
        <v>0.462648</v>
      </c>
      <c r="K32" s="12">
        <v>0.47983399999999998</v>
      </c>
      <c r="L32" s="12"/>
      <c r="M32" s="1">
        <f t="shared" si="10"/>
        <v>0.48667705000000006</v>
      </c>
      <c r="N32" s="1">
        <f t="shared" si="11"/>
        <v>1.577272038547357E-2</v>
      </c>
      <c r="O32" s="1">
        <f t="shared" si="12"/>
        <v>0.4709043296145265</v>
      </c>
      <c r="P32" s="1">
        <f t="shared" si="13"/>
        <v>0.50244977038547367</v>
      </c>
    </row>
    <row r="33" spans="1:16" ht="12.75" customHeight="1" x14ac:dyDescent="0.3">
      <c r="A33" s="1" t="s">
        <v>14</v>
      </c>
      <c r="B33" s="11">
        <v>4.5747200000000001</v>
      </c>
      <c r="C33" s="12">
        <v>3.8445849999999999</v>
      </c>
      <c r="D33" s="12">
        <v>3.9047339999999999</v>
      </c>
      <c r="E33" s="12">
        <v>3.8445849999999999</v>
      </c>
      <c r="F33" s="12">
        <v>3.8445849999999999</v>
      </c>
      <c r="G33" s="12">
        <v>3.9430855</v>
      </c>
      <c r="H33" s="12">
        <v>3.9047339999999999</v>
      </c>
      <c r="I33" s="12">
        <v>3.623726</v>
      </c>
      <c r="J33" s="12">
        <v>3.8174160000000001</v>
      </c>
      <c r="K33" s="12">
        <v>3.981077</v>
      </c>
      <c r="L33" s="12"/>
      <c r="M33" s="1">
        <f t="shared" si="10"/>
        <v>3.9283247499999994</v>
      </c>
      <c r="N33" s="1">
        <f t="shared" si="11"/>
        <v>0.24676996313089855</v>
      </c>
      <c r="O33" s="1">
        <f t="shared" si="12"/>
        <v>3.6815547868691008</v>
      </c>
      <c r="P33" s="1">
        <f t="shared" si="13"/>
        <v>4.175094713130898</v>
      </c>
    </row>
    <row r="34" spans="1:16" ht="12.75" customHeight="1" x14ac:dyDescent="0.3">
      <c r="A34" s="1" t="s">
        <v>15</v>
      </c>
      <c r="B34" s="11">
        <v>0.101802</v>
      </c>
      <c r="C34" s="12">
        <v>0.37135000000000001</v>
      </c>
      <c r="D34" s="12">
        <v>8.5707000000000005E-2</v>
      </c>
      <c r="E34" s="12">
        <v>0.37135000000000001</v>
      </c>
      <c r="F34" s="12">
        <v>0.37135000000000001</v>
      </c>
      <c r="G34" s="12">
        <v>8.1792000000000004E-2</v>
      </c>
      <c r="H34" s="12">
        <v>8.5707000000000005E-2</v>
      </c>
      <c r="I34" s="12">
        <v>5.9542999999999999E-2</v>
      </c>
      <c r="J34" s="12">
        <v>9.0193999999999996E-2</v>
      </c>
      <c r="K34" s="12">
        <v>1.9358E-2</v>
      </c>
      <c r="L34" s="12"/>
      <c r="M34" s="1">
        <f>AVERAGE(B34:K34)</f>
        <v>0.1638153</v>
      </c>
      <c r="N34" s="1">
        <f t="shared" si="11"/>
        <v>0.14497047943713695</v>
      </c>
      <c r="O34" s="1">
        <f t="shared" si="12"/>
        <v>1.8844820562863046E-2</v>
      </c>
      <c r="P34" s="1">
        <f t="shared" si="13"/>
        <v>0.30878577943713692</v>
      </c>
    </row>
    <row r="35" spans="1:16" ht="12.75" customHeight="1" x14ac:dyDescent="0.3">
      <c r="A35" s="1" t="s">
        <v>16</v>
      </c>
      <c r="B35" s="11">
        <v>16.64</v>
      </c>
      <c r="C35" s="12">
        <v>17.54</v>
      </c>
      <c r="D35" s="12">
        <v>17.91</v>
      </c>
      <c r="E35" s="12">
        <v>18.579999999999998</v>
      </c>
      <c r="F35" s="12">
        <v>12.61</v>
      </c>
      <c r="G35" s="12">
        <v>17.53</v>
      </c>
      <c r="H35" s="12">
        <v>16.190000000000001</v>
      </c>
      <c r="I35" s="12">
        <v>16.510000000000002</v>
      </c>
      <c r="J35" s="12">
        <v>16.55</v>
      </c>
      <c r="K35" s="12">
        <v>15.19</v>
      </c>
      <c r="L35" s="12"/>
      <c r="M35" s="1">
        <f>AVERAGE(B35:K35)</f>
        <v>16.524999999999999</v>
      </c>
      <c r="N35" s="9">
        <f>STDEV(B35:K35)</f>
        <v>1.6805174467671822</v>
      </c>
      <c r="O35" s="9">
        <f>M35-N35</f>
        <v>14.844482553232817</v>
      </c>
      <c r="P35" s="9">
        <f>M35+N35</f>
        <v>18.205517446767182</v>
      </c>
    </row>
    <row r="36" spans="1:16" ht="12.75" customHeight="1" x14ac:dyDescent="0.3">
      <c r="A36" s="1" t="s">
        <v>17</v>
      </c>
      <c r="B36" s="11">
        <v>1.2</v>
      </c>
      <c r="C36" s="11">
        <v>1.07</v>
      </c>
      <c r="D36" s="11">
        <v>1.26</v>
      </c>
      <c r="E36" s="11">
        <v>1.06</v>
      </c>
      <c r="F36" s="11">
        <v>1.27</v>
      </c>
      <c r="G36" s="11">
        <v>0.94199999999999995</v>
      </c>
      <c r="H36" s="11">
        <v>1.2</v>
      </c>
      <c r="I36" s="11">
        <v>1.07</v>
      </c>
      <c r="J36" s="11">
        <v>1.1599999999999999</v>
      </c>
      <c r="K36" s="11">
        <v>1.1499999999999999</v>
      </c>
      <c r="L36" s="11"/>
      <c r="M36" s="9">
        <f t="shared" ref="M36" si="14">AVERAGE(B36:K36)</f>
        <v>1.1381999999999999</v>
      </c>
      <c r="N36" s="9">
        <f t="shared" ref="N36" si="15">STDEV(B36:K36)</f>
        <v>0.10239986979158387</v>
      </c>
      <c r="O36" s="9">
        <f>M36-N36</f>
        <v>1.0358001302084161</v>
      </c>
      <c r="P36" s="9">
        <f>M36+N36</f>
        <v>1.2405998697915837</v>
      </c>
    </row>
    <row r="37" spans="1:16" ht="12.75" customHeight="1" x14ac:dyDescent="0.3">
      <c r="B37" s="10"/>
      <c r="C37" s="10"/>
      <c r="E37" s="10"/>
    </row>
    <row r="38" spans="1:16" ht="12.75" customHeight="1" x14ac:dyDescent="0.3">
      <c r="B38" s="10"/>
      <c r="C38" s="10"/>
      <c r="D38" s="10"/>
      <c r="E38" s="10"/>
    </row>
    <row r="39" spans="1:16" ht="13.8" x14ac:dyDescent="0.3"/>
    <row r="40" spans="1:16" ht="12.75" customHeight="1" x14ac:dyDescent="0.3">
      <c r="A40" s="2" t="s">
        <v>22</v>
      </c>
      <c r="B40" s="24" t="s">
        <v>1</v>
      </c>
      <c r="C40" s="23"/>
      <c r="D40" s="23"/>
      <c r="E40" s="23"/>
      <c r="F40" s="23"/>
      <c r="G40" s="23"/>
      <c r="H40" s="23"/>
      <c r="I40" s="23"/>
      <c r="J40" s="23"/>
      <c r="K40" s="23"/>
      <c r="L40" s="7"/>
      <c r="M40" s="7"/>
      <c r="N40" s="7"/>
      <c r="O40" s="7"/>
    </row>
    <row r="41" spans="1:16" ht="13.8" x14ac:dyDescent="0.3">
      <c r="B41" s="24" t="s">
        <v>2</v>
      </c>
      <c r="C41" s="23"/>
      <c r="D41" s="23"/>
      <c r="E41" s="23"/>
      <c r="F41" s="23"/>
      <c r="G41" s="23"/>
      <c r="H41" s="23"/>
      <c r="I41" s="23"/>
      <c r="J41" s="23"/>
      <c r="K41" s="23"/>
      <c r="L41" s="7"/>
      <c r="M41" s="7"/>
      <c r="N41" s="7"/>
      <c r="O41" s="7"/>
    </row>
    <row r="42" spans="1:16" ht="13.8" x14ac:dyDescent="0.3">
      <c r="A42" s="7" t="s">
        <v>4</v>
      </c>
      <c r="B42" s="13">
        <v>1</v>
      </c>
      <c r="C42" s="7">
        <v>2</v>
      </c>
      <c r="D42" s="7">
        <v>3</v>
      </c>
      <c r="E42" s="7">
        <v>5</v>
      </c>
      <c r="F42" s="7">
        <v>6</v>
      </c>
      <c r="G42" s="7">
        <v>7</v>
      </c>
      <c r="H42" s="7">
        <v>8</v>
      </c>
      <c r="I42" s="14">
        <v>10</v>
      </c>
      <c r="J42" s="7">
        <v>12</v>
      </c>
      <c r="K42" s="7">
        <v>14</v>
      </c>
      <c r="L42" s="7" t="s">
        <v>5</v>
      </c>
      <c r="M42" s="7" t="s">
        <v>6</v>
      </c>
      <c r="N42" s="7" t="s">
        <v>7</v>
      </c>
      <c r="O42" s="7" t="s">
        <v>8</v>
      </c>
    </row>
    <row r="43" spans="1:16" ht="14.4" x14ac:dyDescent="0.3">
      <c r="A43" s="1" t="s">
        <v>10</v>
      </c>
      <c r="B43" s="1">
        <v>1.6627000000000001</v>
      </c>
      <c r="C43" s="8">
        <v>1.3880950000000001</v>
      </c>
      <c r="D43" s="8">
        <v>1.7680439999999999</v>
      </c>
      <c r="E43" s="8">
        <v>1.7680439999999999</v>
      </c>
      <c r="F43" s="8">
        <v>1.902541</v>
      </c>
      <c r="G43" s="8">
        <v>1.841213</v>
      </c>
      <c r="H43" s="8">
        <v>1.6627000000000001</v>
      </c>
      <c r="I43" s="8">
        <v>1.778464</v>
      </c>
      <c r="J43" s="8">
        <v>1.6627000000000001</v>
      </c>
      <c r="K43" s="8">
        <v>1.7958700000000001</v>
      </c>
      <c r="L43" s="1">
        <f t="shared" ref="L43:L49" si="16">AVERAGE(B43:I43)</f>
        <v>1.721475125</v>
      </c>
      <c r="M43" s="1">
        <f>STDEV(B43:I43)</f>
        <v>0.15709796774755141</v>
      </c>
      <c r="N43" s="1">
        <f t="shared" ref="N43:N49" si="17">L43-M43</f>
        <v>1.5643771572524485</v>
      </c>
      <c r="O43" s="1">
        <f t="shared" ref="O43:O49" si="18">L43+M43</f>
        <v>1.8785730927475515</v>
      </c>
    </row>
    <row r="44" spans="1:16" ht="12.75" customHeight="1" x14ac:dyDescent="0.3">
      <c r="A44" s="1" t="s">
        <v>12</v>
      </c>
      <c r="B44" s="8">
        <v>8.9596350000000005</v>
      </c>
      <c r="C44" s="8">
        <v>12.742008</v>
      </c>
      <c r="D44" s="1">
        <v>17.213097000000001</v>
      </c>
      <c r="E44" s="8">
        <v>17.213097000000001</v>
      </c>
      <c r="F44" s="8">
        <v>6.3338749999999999</v>
      </c>
      <c r="G44" s="8">
        <v>5.5296089999999998</v>
      </c>
      <c r="H44" s="8">
        <v>8.9596350000000005</v>
      </c>
      <c r="I44" s="8">
        <v>6.0838489999999998</v>
      </c>
      <c r="J44" s="8">
        <v>8.9596350000000005</v>
      </c>
      <c r="K44" s="8">
        <v>8.7700910000000007</v>
      </c>
      <c r="L44" s="1">
        <f t="shared" si="16"/>
        <v>10.379350625000001</v>
      </c>
      <c r="M44" s="1">
        <f>STDEV(B44:I44)</f>
        <v>4.8010521896043903</v>
      </c>
      <c r="N44" s="1">
        <f t="shared" si="17"/>
        <v>5.5782984353956104</v>
      </c>
      <c r="O44" s="1">
        <f t="shared" si="18"/>
        <v>15.180402814604392</v>
      </c>
    </row>
    <row r="45" spans="1:16" ht="12.75" customHeight="1" x14ac:dyDescent="0.3">
      <c r="A45" s="1" t="s">
        <v>13</v>
      </c>
      <c r="B45" s="8">
        <v>0.49335000000000001</v>
      </c>
      <c r="C45" s="8">
        <v>0.487313</v>
      </c>
      <c r="D45" s="1">
        <v>0.47983399999999998</v>
      </c>
      <c r="E45" s="1">
        <v>0.47983399999999998</v>
      </c>
      <c r="F45" s="1">
        <v>0.53558099999999997</v>
      </c>
      <c r="G45" s="1">
        <v>0.53681000000000001</v>
      </c>
      <c r="H45" s="1">
        <v>0.49335000000000001</v>
      </c>
      <c r="I45" s="1">
        <v>0.44340499999999999</v>
      </c>
      <c r="J45" s="1">
        <v>0.49335000000000001</v>
      </c>
      <c r="K45" s="1">
        <v>0.46834700000000001</v>
      </c>
      <c r="L45" s="1">
        <f t="shared" si="16"/>
        <v>0.49368462499999999</v>
      </c>
      <c r="M45" s="1">
        <f>STDEV(B45:I45)</f>
        <v>3.0630624441829922E-2</v>
      </c>
      <c r="N45" s="1">
        <f t="shared" si="17"/>
        <v>0.46305400055817009</v>
      </c>
      <c r="O45" s="1">
        <f t="shared" si="18"/>
        <v>0.52431524944182994</v>
      </c>
    </row>
    <row r="46" spans="1:16" ht="12.75" customHeight="1" x14ac:dyDescent="0.3">
      <c r="A46" s="1" t="s">
        <v>14</v>
      </c>
      <c r="B46" s="8">
        <v>4.7770380000000001</v>
      </c>
      <c r="C46" s="8">
        <v>4.3346980000000004</v>
      </c>
      <c r="D46" s="8">
        <v>3.981077</v>
      </c>
      <c r="E46" s="1">
        <v>3.981077</v>
      </c>
      <c r="F46" s="1">
        <v>5.2449440000000003</v>
      </c>
      <c r="G46" s="1">
        <v>5.1355560000000002</v>
      </c>
      <c r="H46" s="1">
        <v>4.7770380000000001</v>
      </c>
      <c r="I46" s="1">
        <v>4.5040519999999997</v>
      </c>
      <c r="J46" s="1">
        <v>4.7770380000000001</v>
      </c>
      <c r="K46" s="1">
        <v>4.6893000000000002</v>
      </c>
      <c r="L46" s="1">
        <f t="shared" si="16"/>
        <v>4.5919350000000003</v>
      </c>
      <c r="M46" s="1">
        <f>STDEV(B46:I46)</f>
        <v>0.47968145309837812</v>
      </c>
      <c r="N46" s="1">
        <f t="shared" si="17"/>
        <v>4.1122535469016226</v>
      </c>
      <c r="O46" s="1">
        <f t="shared" si="18"/>
        <v>5.0716164530983781</v>
      </c>
    </row>
    <row r="47" spans="1:16" ht="12.75" customHeight="1" x14ac:dyDescent="0.3">
      <c r="A47" s="1" t="s">
        <v>15</v>
      </c>
      <c r="B47" s="1">
        <v>0.105915</v>
      </c>
      <c r="C47" s="1">
        <v>6.7846000000000004E-2</v>
      </c>
      <c r="D47" s="1">
        <v>1.9358E-2</v>
      </c>
      <c r="E47" s="1">
        <v>1.9358E-2</v>
      </c>
      <c r="F47" s="1">
        <v>6.5069000000000002E-2</v>
      </c>
      <c r="G47" s="1">
        <v>4.4338000000000002E-2</v>
      </c>
      <c r="H47" s="1">
        <v>0.105915</v>
      </c>
      <c r="I47" s="1">
        <v>0.212478</v>
      </c>
      <c r="J47" s="1">
        <v>0.105915</v>
      </c>
      <c r="K47" s="1">
        <v>8.4720000000000004E-2</v>
      </c>
      <c r="L47" s="1">
        <f t="shared" si="16"/>
        <v>8.0034624999999998E-2</v>
      </c>
      <c r="M47" s="1">
        <f>STDEV(B48:I48)</f>
        <v>0.60411535085847412</v>
      </c>
      <c r="N47" s="1">
        <f t="shared" si="17"/>
        <v>-0.52408072585847409</v>
      </c>
      <c r="O47" s="1">
        <f t="shared" si="18"/>
        <v>0.68414997585847415</v>
      </c>
    </row>
    <row r="48" spans="1:16" ht="12.75" customHeight="1" x14ac:dyDescent="0.3">
      <c r="A48" s="1" t="s">
        <v>16</v>
      </c>
      <c r="B48" s="1">
        <v>14.32</v>
      </c>
      <c r="C48" s="1">
        <v>13.28</v>
      </c>
      <c r="D48" s="1">
        <v>13.36</v>
      </c>
      <c r="E48" s="1">
        <v>13.4</v>
      </c>
      <c r="F48" s="1">
        <v>14.98</v>
      </c>
      <c r="G48" s="1">
        <v>13.92</v>
      </c>
      <c r="H48" s="1">
        <v>13.31</v>
      </c>
      <c r="I48" s="1">
        <v>13.92</v>
      </c>
      <c r="J48" s="1">
        <v>13.05</v>
      </c>
      <c r="K48" s="1">
        <v>13.05</v>
      </c>
      <c r="L48" s="9">
        <f t="shared" si="16"/>
        <v>13.811250000000001</v>
      </c>
      <c r="M48" s="1">
        <f>STDEV(B48:I48)</f>
        <v>0.60411535085847412</v>
      </c>
      <c r="N48" s="9">
        <f t="shared" si="17"/>
        <v>13.207134649141526</v>
      </c>
      <c r="O48" s="9">
        <f t="shared" si="18"/>
        <v>14.415365350858476</v>
      </c>
    </row>
    <row r="49" spans="1:16" ht="12.75" customHeight="1" x14ac:dyDescent="0.3">
      <c r="A49" s="1" t="s">
        <v>17</v>
      </c>
      <c r="B49" s="9">
        <v>0.88400000000000001</v>
      </c>
      <c r="C49" s="9">
        <v>0.96199999999999997</v>
      </c>
      <c r="D49" s="9">
        <v>0.84</v>
      </c>
      <c r="E49" s="9">
        <v>1.06</v>
      </c>
      <c r="F49" s="9">
        <v>0.86399999999999999</v>
      </c>
      <c r="G49" s="9">
        <v>0.93300000000000005</v>
      </c>
      <c r="H49" s="9">
        <v>0.80600000000000005</v>
      </c>
      <c r="I49" s="9">
        <v>1.1599999999999999</v>
      </c>
      <c r="J49" s="9">
        <v>0.95199999999999996</v>
      </c>
      <c r="K49" s="9">
        <v>0.95199999999999996</v>
      </c>
      <c r="L49" s="9">
        <f t="shared" si="16"/>
        <v>0.93862500000000004</v>
      </c>
      <c r="M49" s="9">
        <f>STDEV(B49:I49)</f>
        <v>0.1196338909220241</v>
      </c>
      <c r="N49" s="9">
        <f t="shared" si="17"/>
        <v>0.8189911090779759</v>
      </c>
      <c r="O49" s="9">
        <f t="shared" si="18"/>
        <v>1.0582588909220241</v>
      </c>
    </row>
    <row r="51" spans="1:16" ht="13.8" x14ac:dyDescent="0.3"/>
    <row r="52" spans="1:16" ht="12.75" customHeight="1" x14ac:dyDescent="0.3">
      <c r="A52" s="2" t="s">
        <v>23</v>
      </c>
      <c r="B52" s="23" t="s">
        <v>1</v>
      </c>
      <c r="C52" s="23"/>
      <c r="D52" s="23"/>
      <c r="E52" s="23"/>
      <c r="F52" s="23"/>
      <c r="G52" s="23"/>
      <c r="H52" s="23"/>
      <c r="I52" s="23"/>
      <c r="J52" s="23"/>
      <c r="K52" s="23"/>
      <c r="L52" s="7"/>
      <c r="M52" s="7"/>
      <c r="N52" s="7"/>
      <c r="O52" s="7"/>
    </row>
    <row r="53" spans="1:16" ht="13.8" x14ac:dyDescent="0.3">
      <c r="B53" s="23" t="s">
        <v>2</v>
      </c>
      <c r="C53" s="23"/>
      <c r="D53" s="23"/>
      <c r="E53" s="23"/>
      <c r="F53" s="23"/>
      <c r="G53" s="23"/>
      <c r="H53" s="23"/>
      <c r="I53" s="23"/>
      <c r="J53" s="23"/>
      <c r="K53" s="23"/>
      <c r="L53" s="7"/>
      <c r="M53" s="7"/>
      <c r="N53" s="7"/>
      <c r="O53" s="7"/>
    </row>
    <row r="54" spans="1:16" ht="13.8" x14ac:dyDescent="0.3">
      <c r="A54" s="7" t="s">
        <v>4</v>
      </c>
      <c r="B54" s="13">
        <v>1</v>
      </c>
      <c r="C54" s="7">
        <v>2</v>
      </c>
      <c r="D54" s="7">
        <v>3</v>
      </c>
      <c r="E54" s="7">
        <v>4</v>
      </c>
      <c r="F54" s="7">
        <v>5</v>
      </c>
      <c r="G54" s="7">
        <v>6</v>
      </c>
      <c r="H54" s="7">
        <v>7</v>
      </c>
      <c r="I54" s="7">
        <v>8</v>
      </c>
      <c r="J54" s="7">
        <v>9</v>
      </c>
      <c r="K54" s="7">
        <v>10</v>
      </c>
      <c r="L54" s="7"/>
      <c r="M54" s="7" t="s">
        <v>5</v>
      </c>
      <c r="N54" s="7" t="s">
        <v>6</v>
      </c>
      <c r="O54" s="7" t="s">
        <v>7</v>
      </c>
      <c r="P54" s="7" t="s">
        <v>8</v>
      </c>
    </row>
    <row r="55" spans="1:16" ht="14.4" x14ac:dyDescent="0.3">
      <c r="A55" s="1" t="s">
        <v>10</v>
      </c>
      <c r="B55" s="11">
        <v>1.6627000000000001</v>
      </c>
      <c r="C55" s="12">
        <v>1.9775659999999999</v>
      </c>
      <c r="D55" s="12">
        <v>1.7680439999999999</v>
      </c>
      <c r="E55" s="12">
        <v>1.786718</v>
      </c>
      <c r="F55" s="12">
        <v>1.819091</v>
      </c>
      <c r="G55" s="12">
        <v>1.6627000000000001</v>
      </c>
      <c r="H55" s="12">
        <v>1.9622710000000001</v>
      </c>
      <c r="I55" s="12">
        <v>1.6627000000000001</v>
      </c>
      <c r="J55" s="12">
        <v>1.6627000000000001</v>
      </c>
      <c r="K55" s="11">
        <v>1.7958700000000001</v>
      </c>
      <c r="L55" s="11"/>
      <c r="M55" s="1">
        <f>AVERAGE(B55:K55)</f>
        <v>1.7760360000000002</v>
      </c>
      <c r="N55" s="1">
        <f>STDEV(B55:K55)</f>
        <v>0.11976973717095647</v>
      </c>
      <c r="O55" s="1">
        <f>M55-N55</f>
        <v>1.6562662628290437</v>
      </c>
      <c r="P55" s="1">
        <f>M55+N55</f>
        <v>1.8958057371709567</v>
      </c>
    </row>
    <row r="56" spans="1:16" ht="12.75" customHeight="1" x14ac:dyDescent="0.3">
      <c r="A56" s="1" t="s">
        <v>12</v>
      </c>
      <c r="B56" s="11">
        <v>8.9596350000000005</v>
      </c>
      <c r="C56" s="12">
        <v>8.2388060000000003</v>
      </c>
      <c r="D56" s="12">
        <v>17.213097000000001</v>
      </c>
      <c r="E56" s="12">
        <v>12.377246</v>
      </c>
      <c r="F56" s="12">
        <v>16.826252</v>
      </c>
      <c r="G56" s="12">
        <v>8.9596350000000005</v>
      </c>
      <c r="H56" s="12">
        <v>5.4117509999999998</v>
      </c>
      <c r="I56" s="12">
        <v>8.9596350000000005</v>
      </c>
      <c r="J56" s="12">
        <v>8.9596350000000005</v>
      </c>
      <c r="K56" s="11">
        <v>8.7700910000000007</v>
      </c>
      <c r="L56" s="11"/>
      <c r="M56" s="1">
        <f t="shared" ref="M56:M59" si="19">AVERAGE(B56:K56)</f>
        <v>10.467578300000003</v>
      </c>
      <c r="N56" s="1">
        <f t="shared" ref="N56:N59" si="20">STDEV(B56:K56)</f>
        <v>3.83097659800181</v>
      </c>
      <c r="O56" s="1">
        <f t="shared" ref="O56:O59" si="21">M56-N56</f>
        <v>6.6366017019981935</v>
      </c>
      <c r="P56" s="1">
        <f t="shared" ref="P56:P59" si="22">M56+N56</f>
        <v>14.298554898001813</v>
      </c>
    </row>
    <row r="57" spans="1:16" ht="12.75" customHeight="1" x14ac:dyDescent="0.3">
      <c r="A57" s="1" t="s">
        <v>13</v>
      </c>
      <c r="B57" s="11">
        <v>0.49335000000000001</v>
      </c>
      <c r="C57" s="12">
        <v>0.39775199999999999</v>
      </c>
      <c r="D57" s="12">
        <v>0.47983399999999998</v>
      </c>
      <c r="E57" s="12">
        <v>0.517702</v>
      </c>
      <c r="F57" s="12">
        <v>0.48451450000000001</v>
      </c>
      <c r="G57" s="12">
        <v>0.49335000000000001</v>
      </c>
      <c r="H57" s="12">
        <v>0.45360600000000001</v>
      </c>
      <c r="I57" s="12">
        <v>0.49335000000000001</v>
      </c>
      <c r="J57" s="12">
        <v>0.49335000000000001</v>
      </c>
      <c r="K57" s="11">
        <v>0.46834700000000001</v>
      </c>
      <c r="L57" s="11"/>
      <c r="M57" s="1">
        <f t="shared" si="19"/>
        <v>0.47751554999999996</v>
      </c>
      <c r="N57" s="1">
        <f t="shared" si="20"/>
        <v>3.2812909555073662E-2</v>
      </c>
      <c r="O57" s="1">
        <f t="shared" si="21"/>
        <v>0.4447026404449263</v>
      </c>
      <c r="P57" s="1">
        <f t="shared" si="22"/>
        <v>0.51032845955507367</v>
      </c>
    </row>
    <row r="58" spans="1:16" ht="12.75" customHeight="1" x14ac:dyDescent="0.3">
      <c r="A58" s="1" t="s">
        <v>14</v>
      </c>
      <c r="B58" s="11">
        <v>4.7770380000000001</v>
      </c>
      <c r="C58" s="12">
        <v>5.0074920000000001</v>
      </c>
      <c r="D58" s="12">
        <v>3.981077</v>
      </c>
      <c r="E58" s="12">
        <v>4.6886380000000001</v>
      </c>
      <c r="F58" s="12">
        <v>4.0034185000000004</v>
      </c>
      <c r="G58" s="12">
        <v>4.7770380000000001</v>
      </c>
      <c r="H58" s="12">
        <v>5.3107340000000001</v>
      </c>
      <c r="I58" s="12">
        <v>4.7770380000000001</v>
      </c>
      <c r="J58" s="12">
        <v>4.7770380000000001</v>
      </c>
      <c r="K58" s="11">
        <v>4.6893000000000002</v>
      </c>
      <c r="L58" s="11"/>
      <c r="M58" s="1">
        <f t="shared" si="19"/>
        <v>4.6788811500000005</v>
      </c>
      <c r="N58" s="1">
        <f t="shared" si="20"/>
        <v>0.40676861501596057</v>
      </c>
      <c r="O58" s="1">
        <f t="shared" si="21"/>
        <v>4.2721125349840401</v>
      </c>
      <c r="P58" s="1">
        <f t="shared" si="22"/>
        <v>5.0856497650159609</v>
      </c>
    </row>
    <row r="59" spans="1:16" ht="12.75" customHeight="1" x14ac:dyDescent="0.3">
      <c r="A59" s="1" t="s">
        <v>15</v>
      </c>
      <c r="B59" s="11">
        <v>0.105915</v>
      </c>
      <c r="C59" s="12">
        <v>7.2644E-2</v>
      </c>
      <c r="D59" s="12">
        <v>1.9358E-2</v>
      </c>
      <c r="E59" s="12">
        <v>8.1529000000000004E-2</v>
      </c>
      <c r="F59" s="12">
        <v>0.108589</v>
      </c>
      <c r="G59" s="1">
        <v>0.105915</v>
      </c>
      <c r="H59" s="12">
        <v>0.11992999999999999</v>
      </c>
      <c r="I59" s="12">
        <v>0.105915</v>
      </c>
      <c r="J59" s="12">
        <v>0.105915</v>
      </c>
      <c r="K59" s="11">
        <v>8.4720000000000004E-2</v>
      </c>
      <c r="L59" s="11"/>
      <c r="M59" s="1">
        <f t="shared" si="19"/>
        <v>9.1042999999999999E-2</v>
      </c>
      <c r="N59" s="1">
        <f t="shared" si="20"/>
        <v>2.9125752964992681E-2</v>
      </c>
      <c r="O59" s="1">
        <f t="shared" si="21"/>
        <v>6.1917247035007318E-2</v>
      </c>
      <c r="P59" s="1">
        <f t="shared" si="22"/>
        <v>0.12016875296499269</v>
      </c>
    </row>
    <row r="60" spans="1:16" ht="12.75" customHeight="1" x14ac:dyDescent="0.3">
      <c r="A60" s="1" t="s">
        <v>16</v>
      </c>
      <c r="B60" s="1">
        <v>18.95</v>
      </c>
      <c r="C60" s="1">
        <v>12.29</v>
      </c>
      <c r="D60" s="1">
        <v>17.510000000000002</v>
      </c>
      <c r="E60" s="1">
        <v>18.899999999999999</v>
      </c>
      <c r="F60" s="1">
        <v>16.38</v>
      </c>
      <c r="G60" s="1">
        <v>17.079999999999998</v>
      </c>
      <c r="H60" s="1">
        <v>14.94</v>
      </c>
      <c r="I60" s="1">
        <v>17.87</v>
      </c>
      <c r="J60" s="1">
        <v>16.89</v>
      </c>
      <c r="K60" s="1">
        <v>15.77</v>
      </c>
      <c r="M60" s="9">
        <f>AVERAGE(B60:K60)</f>
        <v>16.658000000000001</v>
      </c>
      <c r="N60" s="9">
        <f>STDEV(B60:K60)</f>
        <v>1.9889517060222568</v>
      </c>
      <c r="O60" s="9">
        <f>M60-N60</f>
        <v>14.669048293977745</v>
      </c>
      <c r="P60" s="9">
        <f>M60+N60</f>
        <v>18.646951706022257</v>
      </c>
    </row>
    <row r="61" spans="1:16" ht="12.75" customHeight="1" x14ac:dyDescent="0.3">
      <c r="A61" s="1" t="s">
        <v>17</v>
      </c>
      <c r="B61" s="11">
        <v>0.88200000000000001</v>
      </c>
      <c r="C61" s="11">
        <v>0.86799999999999999</v>
      </c>
      <c r="D61" s="11">
        <v>0.84299999999999997</v>
      </c>
      <c r="E61" s="11">
        <v>0.97199999999999998</v>
      </c>
      <c r="F61" s="11">
        <v>0.93200000000000005</v>
      </c>
      <c r="G61" s="11">
        <v>1.06</v>
      </c>
      <c r="H61" s="11">
        <v>0.93200000000000005</v>
      </c>
      <c r="I61" s="11">
        <v>0.80900000000000005</v>
      </c>
      <c r="J61" s="11">
        <v>0.91200000000000003</v>
      </c>
      <c r="K61" s="11">
        <v>0.91200000000000003</v>
      </c>
      <c r="L61" s="11"/>
      <c r="M61" s="9">
        <f t="shared" ref="M61" si="23">AVERAGE(B61:K61)</f>
        <v>0.91220000000000012</v>
      </c>
      <c r="N61" s="9">
        <f t="shared" ref="N61" si="24">STDEV(B61:K61)</f>
        <v>7.0324328017487031E-2</v>
      </c>
      <c r="O61" s="9">
        <f>M61-N61</f>
        <v>0.84187567198251312</v>
      </c>
      <c r="P61" s="9">
        <f>M61+N61</f>
        <v>0.98252432801748713</v>
      </c>
    </row>
    <row r="62" spans="1:16" ht="12.75" customHeight="1" x14ac:dyDescent="0.3">
      <c r="C62" s="10"/>
      <c r="E62" s="10"/>
      <c r="F62" s="10"/>
      <c r="G62" s="10"/>
      <c r="H62" s="10"/>
      <c r="I62" s="10"/>
      <c r="J62" s="10"/>
      <c r="K62" s="10"/>
      <c r="L62" s="10"/>
    </row>
    <row r="63" spans="1:16" ht="13.8" x14ac:dyDescent="0.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6" ht="13.8" x14ac:dyDescent="0.3">
      <c r="A64" s="2" t="s">
        <v>24</v>
      </c>
      <c r="B64" s="23" t="s">
        <v>1</v>
      </c>
      <c r="C64" s="23"/>
      <c r="D64" s="23"/>
      <c r="E64" s="23"/>
      <c r="F64" s="23"/>
      <c r="G64" s="23"/>
      <c r="H64" s="23"/>
      <c r="I64" s="23"/>
      <c r="J64" s="23"/>
      <c r="K64" s="23"/>
      <c r="L64" s="7"/>
    </row>
    <row r="65" spans="1:16" ht="13.8" x14ac:dyDescent="0.3">
      <c r="B65" s="23" t="s">
        <v>2</v>
      </c>
      <c r="C65" s="23"/>
      <c r="D65" s="23"/>
      <c r="E65" s="23"/>
      <c r="F65" s="23"/>
      <c r="G65" s="23"/>
      <c r="H65" s="23"/>
      <c r="I65" s="23"/>
      <c r="J65" s="23"/>
      <c r="K65" s="23"/>
      <c r="L65" s="7"/>
    </row>
    <row r="66" spans="1:16" ht="13.8" x14ac:dyDescent="0.3">
      <c r="A66" s="7" t="s">
        <v>4</v>
      </c>
      <c r="B66" s="7">
        <v>2</v>
      </c>
      <c r="C66" s="7">
        <v>3</v>
      </c>
      <c r="D66" s="7">
        <v>4</v>
      </c>
      <c r="E66" s="7">
        <v>5</v>
      </c>
      <c r="F66" s="7">
        <v>6</v>
      </c>
      <c r="G66" s="7">
        <v>7</v>
      </c>
      <c r="H66" s="13">
        <v>8</v>
      </c>
      <c r="I66" s="7">
        <v>9</v>
      </c>
      <c r="J66" s="7">
        <v>11</v>
      </c>
      <c r="K66" s="7">
        <v>12</v>
      </c>
      <c r="L66" s="7"/>
      <c r="M66" s="7" t="s">
        <v>5</v>
      </c>
      <c r="N66" s="7" t="s">
        <v>6</v>
      </c>
      <c r="O66" s="7" t="s">
        <v>7</v>
      </c>
      <c r="P66" s="7" t="s">
        <v>8</v>
      </c>
    </row>
    <row r="67" spans="1:16" ht="14.4" x14ac:dyDescent="0.3">
      <c r="A67" s="1" t="s">
        <v>10</v>
      </c>
      <c r="B67" s="11">
        <v>1.6627000000000001</v>
      </c>
      <c r="C67" s="12">
        <v>1.7680439999999999</v>
      </c>
      <c r="D67" s="12">
        <v>1.7958700000000001</v>
      </c>
      <c r="E67" s="12">
        <v>1.7680439999999999</v>
      </c>
      <c r="F67" s="12">
        <v>1.701972</v>
      </c>
      <c r="G67" s="12">
        <v>1.526877</v>
      </c>
      <c r="H67" s="12">
        <v>1.6627000000000001</v>
      </c>
      <c r="I67" s="12">
        <v>1.6627000000000001</v>
      </c>
      <c r="J67" s="12">
        <v>1.560497</v>
      </c>
      <c r="K67" s="12">
        <v>1.6627000000000001</v>
      </c>
      <c r="L67" s="12"/>
      <c r="M67" s="1">
        <f>AVERAGE(B67:K67)</f>
        <v>1.6772103999999999</v>
      </c>
      <c r="N67" s="1">
        <f>STDEV(B67:K67)</f>
        <v>8.708812842453835E-2</v>
      </c>
      <c r="O67" s="1">
        <f>M67-N67</f>
        <v>1.5901222715754615</v>
      </c>
      <c r="P67" s="1">
        <f>M67+N67</f>
        <v>1.7642985284245383</v>
      </c>
    </row>
    <row r="68" spans="1:16" ht="12.75" customHeight="1" x14ac:dyDescent="0.3">
      <c r="A68" s="1" t="s">
        <v>12</v>
      </c>
      <c r="B68" s="11">
        <v>8.9596350000000005</v>
      </c>
      <c r="C68" s="12">
        <v>17.213097000000001</v>
      </c>
      <c r="D68" s="12">
        <v>8.7700910000000007</v>
      </c>
      <c r="E68" s="12">
        <v>17.213097000000001</v>
      </c>
      <c r="F68" s="12">
        <v>4.1937139999999999</v>
      </c>
      <c r="G68" s="12">
        <v>8.6002720000000004</v>
      </c>
      <c r="H68" s="12">
        <v>8.9596350000000005</v>
      </c>
      <c r="I68" s="12">
        <v>8.9596350000000005</v>
      </c>
      <c r="J68" s="12">
        <v>16.838761000000002</v>
      </c>
      <c r="K68" s="12">
        <v>8.9596350000000005</v>
      </c>
      <c r="L68" s="12"/>
      <c r="M68" s="1">
        <f t="shared" ref="M68:M70" si="25">AVERAGE(B68:K68)</f>
        <v>10.866757200000004</v>
      </c>
      <c r="N68" s="1">
        <f t="shared" ref="N68:N71" si="26">STDEV(B68:K68)</f>
        <v>4.5317131579003087</v>
      </c>
      <c r="O68" s="1">
        <f t="shared" ref="O68:O71" si="27">M68-N68</f>
        <v>6.3350440420996952</v>
      </c>
      <c r="P68" s="1">
        <f t="shared" ref="P68:P71" si="28">M68+N68</f>
        <v>15.398470357900312</v>
      </c>
    </row>
    <row r="69" spans="1:16" ht="12.75" customHeight="1" x14ac:dyDescent="0.3">
      <c r="A69" s="1" t="s">
        <v>13</v>
      </c>
      <c r="B69" s="11">
        <v>0.49335000000000001</v>
      </c>
      <c r="C69" s="12">
        <v>0.47983399999999998</v>
      </c>
      <c r="D69" s="12">
        <v>0.46834700000000001</v>
      </c>
      <c r="E69" s="12">
        <v>0.47983399999999998</v>
      </c>
      <c r="F69" s="12">
        <v>0.53454250000000003</v>
      </c>
      <c r="G69" s="12">
        <v>0.516567</v>
      </c>
      <c r="H69" s="12">
        <v>0.49335000000000001</v>
      </c>
      <c r="I69" s="12">
        <v>0.49335000000000001</v>
      </c>
      <c r="J69" s="12">
        <v>0.503224</v>
      </c>
      <c r="K69" s="12">
        <v>0.49335000000000001</v>
      </c>
      <c r="L69" s="12"/>
      <c r="M69" s="1">
        <f t="shared" si="25"/>
        <v>0.49557485000000012</v>
      </c>
      <c r="N69" s="1">
        <f t="shared" si="26"/>
        <v>1.9074013639926744E-2</v>
      </c>
      <c r="O69" s="1">
        <f t="shared" si="27"/>
        <v>0.4765008363600734</v>
      </c>
      <c r="P69" s="1">
        <f t="shared" si="28"/>
        <v>0.5146488636399269</v>
      </c>
    </row>
    <row r="70" spans="1:16" ht="12.75" customHeight="1" x14ac:dyDescent="0.3">
      <c r="A70" s="1" t="s">
        <v>14</v>
      </c>
      <c r="B70" s="11">
        <v>4.7770380000000001</v>
      </c>
      <c r="C70" s="12">
        <v>3.981077</v>
      </c>
      <c r="D70" s="12">
        <v>4.6893000000000002</v>
      </c>
      <c r="E70" s="12">
        <v>3.981077</v>
      </c>
      <c r="F70" s="12">
        <v>4.9722454999999997</v>
      </c>
      <c r="G70" s="12">
        <v>4.9636690000000003</v>
      </c>
      <c r="H70" s="12">
        <v>4.7770380000000001</v>
      </c>
      <c r="I70" s="12">
        <v>4.7770380000000001</v>
      </c>
      <c r="J70" s="12">
        <v>4.0820540000000003</v>
      </c>
      <c r="K70" s="12">
        <v>4.7770380000000001</v>
      </c>
      <c r="L70" s="12"/>
      <c r="M70" s="1">
        <f t="shared" si="25"/>
        <v>4.5777574499999991</v>
      </c>
      <c r="N70" s="1">
        <f t="shared" si="26"/>
        <v>0.39911266385935923</v>
      </c>
      <c r="O70" s="1">
        <f t="shared" si="27"/>
        <v>4.1786447861406399</v>
      </c>
      <c r="P70" s="1">
        <f t="shared" si="28"/>
        <v>4.9768701138593583</v>
      </c>
    </row>
    <row r="71" spans="1:16" ht="12.75" customHeight="1" x14ac:dyDescent="0.3">
      <c r="A71" s="1" t="s">
        <v>15</v>
      </c>
      <c r="B71" s="11">
        <v>0.105915</v>
      </c>
      <c r="C71" s="12">
        <v>1.9358E-2</v>
      </c>
      <c r="D71" s="12">
        <v>8.4720000000000004E-2</v>
      </c>
      <c r="E71" s="12">
        <v>1.9358E-2</v>
      </c>
      <c r="F71" s="12">
        <v>2.0420500000000001E-2</v>
      </c>
      <c r="G71" s="12">
        <v>9.3633999999999995E-2</v>
      </c>
      <c r="H71" s="12">
        <v>0.105915</v>
      </c>
      <c r="I71" s="12">
        <v>0.105915</v>
      </c>
      <c r="J71" s="12">
        <v>8.8663000000000006E-2</v>
      </c>
      <c r="K71" s="12">
        <v>0.105915</v>
      </c>
      <c r="L71" s="12"/>
      <c r="M71" s="1">
        <f>AVERAGE(B71:K71)</f>
        <v>7.4981350000000002E-2</v>
      </c>
      <c r="N71" s="1">
        <f t="shared" si="26"/>
        <v>3.8904889003004622E-2</v>
      </c>
      <c r="O71" s="1">
        <f t="shared" si="27"/>
        <v>3.607646099699538E-2</v>
      </c>
      <c r="P71" s="1">
        <f t="shared" si="28"/>
        <v>0.11388623900300462</v>
      </c>
    </row>
    <row r="72" spans="1:16" ht="12.75" customHeight="1" x14ac:dyDescent="0.3">
      <c r="A72" s="1" t="s">
        <v>16</v>
      </c>
      <c r="B72" s="11">
        <v>18.420000000000002</v>
      </c>
      <c r="C72" s="12">
        <v>19.399999999999999</v>
      </c>
      <c r="D72" s="12">
        <v>18.16</v>
      </c>
      <c r="E72" s="12">
        <v>19.82</v>
      </c>
      <c r="F72" s="12">
        <v>21.35</v>
      </c>
      <c r="G72" s="12">
        <v>19.59</v>
      </c>
      <c r="H72" s="12">
        <v>19.760000000000002</v>
      </c>
      <c r="I72" s="12">
        <v>18.03</v>
      </c>
      <c r="J72" s="12">
        <v>18.72</v>
      </c>
      <c r="K72" s="12">
        <v>19.16</v>
      </c>
      <c r="L72" s="12"/>
      <c r="M72" s="1">
        <f>AVERAGE(B72:K72)</f>
        <v>19.241</v>
      </c>
      <c r="N72" s="9">
        <f>STDEV(B72:K72)</f>
        <v>0.98807838195605158</v>
      </c>
      <c r="O72" s="9">
        <f>M72-N72</f>
        <v>18.252921618043949</v>
      </c>
      <c r="P72" s="9">
        <f>M72+N72</f>
        <v>20.22907838195605</v>
      </c>
    </row>
    <row r="73" spans="1:16" ht="13.8" x14ac:dyDescent="0.3">
      <c r="A73" s="1" t="s">
        <v>17</v>
      </c>
      <c r="B73" s="11">
        <v>1.08</v>
      </c>
      <c r="C73" s="11">
        <v>1.76</v>
      </c>
      <c r="D73" s="11">
        <v>0.97199999999999998</v>
      </c>
      <c r="E73" s="11">
        <v>1.05</v>
      </c>
      <c r="F73" s="11">
        <v>1.04</v>
      </c>
      <c r="G73" s="11">
        <v>0.91500000000000004</v>
      </c>
      <c r="H73" s="11">
        <v>0.81</v>
      </c>
      <c r="I73" s="11">
        <v>0.91200000000000003</v>
      </c>
      <c r="J73" s="11">
        <v>0.99299999999999999</v>
      </c>
      <c r="K73" s="11">
        <v>0.95099999999999996</v>
      </c>
      <c r="L73" s="11"/>
      <c r="M73" s="9">
        <f t="shared" ref="M73" si="29">AVERAGE(B73:K73)</f>
        <v>1.0483000000000002</v>
      </c>
      <c r="N73" s="9">
        <f t="shared" ref="N73" si="30">STDEV(B73:K73)</f>
        <v>0.26227087354700784</v>
      </c>
      <c r="O73" s="9">
        <f>M73-N73</f>
        <v>0.78602912645299239</v>
      </c>
      <c r="P73" s="9">
        <f>M73+N73</f>
        <v>1.3105708735470081</v>
      </c>
    </row>
    <row r="75" spans="1:16" ht="13.8" x14ac:dyDescent="0.3"/>
    <row r="76" spans="1:16" ht="12.75" customHeight="1" x14ac:dyDescent="0.3">
      <c r="A76" s="15"/>
    </row>
    <row r="77" spans="1:16" ht="13.8" x14ac:dyDescent="0.3"/>
    <row r="78" spans="1:16" ht="13.8" x14ac:dyDescent="0.3">
      <c r="A78" s="2" t="s">
        <v>0</v>
      </c>
      <c r="B78" s="23" t="s">
        <v>25</v>
      </c>
      <c r="C78" s="23"/>
      <c r="D78" s="23"/>
      <c r="E78" s="23"/>
      <c r="F78" s="23"/>
      <c r="G78" s="23"/>
      <c r="H78" s="23"/>
      <c r="I78" s="23"/>
      <c r="J78" s="23"/>
      <c r="K78" s="23"/>
    </row>
    <row r="79" spans="1:16" ht="13.8" x14ac:dyDescent="0.3">
      <c r="B79" s="23" t="s">
        <v>2</v>
      </c>
      <c r="C79" s="23"/>
      <c r="D79" s="23"/>
      <c r="E79" s="23"/>
      <c r="F79" s="23"/>
      <c r="G79" s="23"/>
      <c r="H79" s="23"/>
      <c r="I79" s="23"/>
      <c r="J79" s="23"/>
      <c r="K79" s="23"/>
    </row>
    <row r="80" spans="1:16" ht="12.75" customHeight="1" x14ac:dyDescent="0.3">
      <c r="A80" s="7" t="s">
        <v>4</v>
      </c>
      <c r="B80" s="7">
        <v>1</v>
      </c>
      <c r="C80" s="7">
        <v>2</v>
      </c>
      <c r="D80" s="7">
        <v>3</v>
      </c>
      <c r="E80" s="7">
        <v>4</v>
      </c>
      <c r="F80" s="7">
        <v>5</v>
      </c>
      <c r="G80" s="7">
        <v>6</v>
      </c>
      <c r="H80" s="7">
        <v>7</v>
      </c>
      <c r="I80" s="7">
        <v>8</v>
      </c>
      <c r="J80" s="7">
        <v>9</v>
      </c>
      <c r="K80" s="7">
        <v>10</v>
      </c>
      <c r="M80" s="7" t="s">
        <v>5</v>
      </c>
      <c r="N80" s="7" t="s">
        <v>6</v>
      </c>
      <c r="O80" s="7" t="s">
        <v>7</v>
      </c>
      <c r="P80" s="7" t="s">
        <v>8</v>
      </c>
    </row>
    <row r="81" spans="1:16" ht="12.75" customHeight="1" x14ac:dyDescent="0.3">
      <c r="A81" s="1" t="s">
        <v>10</v>
      </c>
      <c r="B81" s="11"/>
      <c r="C81" s="12"/>
      <c r="D81" s="12"/>
      <c r="E81" s="12"/>
      <c r="F81" s="12"/>
      <c r="G81" s="12"/>
      <c r="H81" s="12"/>
      <c r="I81" s="12"/>
      <c r="J81" s="12"/>
      <c r="K81" s="12"/>
      <c r="M81" s="1" t="e">
        <f>AVERAGE(B81:K81)</f>
        <v>#DIV/0!</v>
      </c>
      <c r="N81" s="1" t="e">
        <f>STDEV(B81:K81)</f>
        <v>#DIV/0!</v>
      </c>
      <c r="O81" s="1" t="e">
        <f>M81-N81</f>
        <v>#DIV/0!</v>
      </c>
      <c r="P81" s="1" t="e">
        <f>M81+N81</f>
        <v>#DIV/0!</v>
      </c>
    </row>
    <row r="82" spans="1:16" ht="12.75" customHeight="1" x14ac:dyDescent="0.3">
      <c r="A82" s="1" t="s">
        <v>12</v>
      </c>
      <c r="B82" s="11"/>
      <c r="C82" s="12"/>
      <c r="D82" s="12"/>
      <c r="E82" s="12"/>
      <c r="F82" s="12"/>
      <c r="G82" s="12"/>
      <c r="H82" s="12"/>
      <c r="I82" s="12"/>
      <c r="J82" s="12"/>
      <c r="K82" s="12"/>
      <c r="M82" s="1" t="e">
        <f t="shared" ref="M82:M84" si="31">AVERAGE(B82:K82)</f>
        <v>#DIV/0!</v>
      </c>
      <c r="N82" s="1" t="e">
        <f t="shared" ref="N82:N85" si="32">STDEV(B82:K82)</f>
        <v>#DIV/0!</v>
      </c>
      <c r="O82" s="1" t="e">
        <f t="shared" ref="O82:O85" si="33">M82-N82</f>
        <v>#DIV/0!</v>
      </c>
      <c r="P82" s="1" t="e">
        <f t="shared" ref="P82:P85" si="34">M82+N82</f>
        <v>#DIV/0!</v>
      </c>
    </row>
    <row r="83" spans="1:16" ht="12.75" customHeight="1" x14ac:dyDescent="0.3">
      <c r="A83" s="1" t="s">
        <v>13</v>
      </c>
      <c r="B83" s="11"/>
      <c r="C83" s="12"/>
      <c r="D83" s="12"/>
      <c r="E83" s="12"/>
      <c r="F83" s="12"/>
      <c r="G83" s="12"/>
      <c r="H83" s="12"/>
      <c r="I83" s="12"/>
      <c r="J83" s="12"/>
      <c r="K83" s="12"/>
      <c r="M83" s="1" t="e">
        <f t="shared" si="31"/>
        <v>#DIV/0!</v>
      </c>
      <c r="N83" s="1" t="e">
        <f t="shared" si="32"/>
        <v>#DIV/0!</v>
      </c>
      <c r="O83" s="1" t="e">
        <f t="shared" si="33"/>
        <v>#DIV/0!</v>
      </c>
      <c r="P83" s="1" t="e">
        <f t="shared" si="34"/>
        <v>#DIV/0!</v>
      </c>
    </row>
    <row r="84" spans="1:16" ht="12.75" customHeight="1" x14ac:dyDescent="0.3">
      <c r="A84" s="1" t="s">
        <v>14</v>
      </c>
      <c r="B84" s="11"/>
      <c r="C84" s="12"/>
      <c r="D84" s="12"/>
      <c r="E84" s="12"/>
      <c r="F84" s="12"/>
      <c r="G84" s="12"/>
      <c r="H84" s="12"/>
      <c r="I84" s="12"/>
      <c r="J84" s="12"/>
      <c r="K84" s="12"/>
      <c r="M84" s="1" t="e">
        <f t="shared" si="31"/>
        <v>#DIV/0!</v>
      </c>
      <c r="N84" s="1" t="e">
        <f t="shared" si="32"/>
        <v>#DIV/0!</v>
      </c>
      <c r="O84" s="1" t="e">
        <f t="shared" si="33"/>
        <v>#DIV/0!</v>
      </c>
      <c r="P84" s="1" t="e">
        <f t="shared" si="34"/>
        <v>#DIV/0!</v>
      </c>
    </row>
    <row r="85" spans="1:16" ht="12.75" customHeight="1" x14ac:dyDescent="0.3">
      <c r="A85" s="1" t="s">
        <v>15</v>
      </c>
      <c r="B85" s="11"/>
      <c r="C85" s="12"/>
      <c r="D85" s="12"/>
      <c r="E85" s="12"/>
      <c r="F85" s="12"/>
      <c r="G85" s="12"/>
      <c r="H85" s="12"/>
      <c r="I85" s="12"/>
      <c r="J85" s="12"/>
      <c r="K85" s="12"/>
      <c r="M85" s="1" t="e">
        <f>AVERAGE(B85:K85)</f>
        <v>#DIV/0!</v>
      </c>
      <c r="N85" s="1" t="e">
        <f t="shared" si="32"/>
        <v>#DIV/0!</v>
      </c>
      <c r="O85" s="1" t="e">
        <f t="shared" si="33"/>
        <v>#DIV/0!</v>
      </c>
      <c r="P85" s="1" t="e">
        <f t="shared" si="34"/>
        <v>#DIV/0!</v>
      </c>
    </row>
    <row r="86" spans="1:16" ht="12.75" customHeight="1" x14ac:dyDescent="0.3">
      <c r="A86" s="1" t="s">
        <v>16</v>
      </c>
      <c r="B86" s="11"/>
      <c r="C86" s="12"/>
      <c r="D86" s="12"/>
      <c r="E86" s="12"/>
      <c r="F86" s="12"/>
      <c r="G86" s="12"/>
      <c r="H86" s="12"/>
      <c r="I86" s="12"/>
      <c r="J86" s="12"/>
      <c r="K86" s="12"/>
      <c r="M86" s="1" t="e">
        <f>AVERAGE(B86:K86)</f>
        <v>#DIV/0!</v>
      </c>
      <c r="N86" s="9" t="e">
        <f>STDEV(B86:K86)</f>
        <v>#DIV/0!</v>
      </c>
      <c r="O86" s="9" t="e">
        <f>M86-N86</f>
        <v>#DIV/0!</v>
      </c>
      <c r="P86" s="9" t="e">
        <f>M86+N86</f>
        <v>#DIV/0!</v>
      </c>
    </row>
    <row r="87" spans="1:16" ht="12.75" customHeight="1" x14ac:dyDescent="0.3">
      <c r="A87" s="1" t="s">
        <v>17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M87" s="9" t="e">
        <f t="shared" ref="M87" si="35">AVERAGE(B87:K87)</f>
        <v>#DIV/0!</v>
      </c>
      <c r="N87" s="9" t="e">
        <f t="shared" ref="N87" si="36">STDEV(B87:K87)</f>
        <v>#DIV/0!</v>
      </c>
      <c r="O87" s="9" t="e">
        <f>M87-N87</f>
        <v>#DIV/0!</v>
      </c>
      <c r="P87" s="9" t="e">
        <f>M87+N87</f>
        <v>#DIV/0!</v>
      </c>
    </row>
    <row r="88" spans="1:16" ht="13.8" x14ac:dyDescent="0.3"/>
    <row r="90" spans="1:16" ht="13.8" x14ac:dyDescent="0.3">
      <c r="A90" s="2" t="s">
        <v>24</v>
      </c>
      <c r="B90" s="23" t="s">
        <v>25</v>
      </c>
      <c r="C90" s="23"/>
      <c r="D90" s="23"/>
      <c r="E90" s="23"/>
      <c r="F90" s="23"/>
      <c r="G90" s="23"/>
      <c r="H90" s="23"/>
      <c r="I90" s="23"/>
      <c r="J90" s="23"/>
      <c r="K90" s="23"/>
    </row>
    <row r="91" spans="1:16" ht="13.8" x14ac:dyDescent="0.3">
      <c r="B91" s="23" t="s">
        <v>2</v>
      </c>
      <c r="C91" s="23"/>
      <c r="D91" s="23"/>
      <c r="E91" s="23"/>
      <c r="F91" s="23"/>
      <c r="G91" s="23"/>
      <c r="H91" s="23"/>
      <c r="I91" s="23"/>
      <c r="J91" s="23"/>
      <c r="K91" s="23"/>
    </row>
    <row r="92" spans="1:16" ht="13.8" x14ac:dyDescent="0.3">
      <c r="A92" s="7" t="s">
        <v>4</v>
      </c>
      <c r="B92" s="7">
        <v>2</v>
      </c>
      <c r="C92" s="7">
        <v>3</v>
      </c>
      <c r="D92" s="7">
        <v>4</v>
      </c>
      <c r="E92" s="7">
        <v>5</v>
      </c>
      <c r="F92" s="7">
        <v>6</v>
      </c>
      <c r="G92" s="7">
        <v>7</v>
      </c>
      <c r="H92" s="7">
        <v>8</v>
      </c>
      <c r="I92" s="7">
        <v>9</v>
      </c>
      <c r="J92" s="7">
        <v>11</v>
      </c>
      <c r="K92" s="7">
        <v>12</v>
      </c>
      <c r="M92" s="7" t="s">
        <v>5</v>
      </c>
      <c r="N92" s="7" t="s">
        <v>6</v>
      </c>
      <c r="O92" s="7" t="s">
        <v>7</v>
      </c>
      <c r="P92" s="7" t="s">
        <v>8</v>
      </c>
    </row>
    <row r="93" spans="1:16" ht="12.75" customHeight="1" x14ac:dyDescent="0.3">
      <c r="A93" s="1" t="s">
        <v>10</v>
      </c>
      <c r="B93" s="11"/>
      <c r="C93" s="12"/>
      <c r="D93" s="12"/>
      <c r="E93" s="12"/>
      <c r="F93" s="12"/>
      <c r="G93" s="12"/>
      <c r="H93" s="12"/>
      <c r="I93" s="12"/>
      <c r="J93" s="12"/>
      <c r="K93" s="12"/>
      <c r="M93" s="1" t="e">
        <f>AVERAGE(B93:K93)</f>
        <v>#DIV/0!</v>
      </c>
      <c r="N93" s="1" t="e">
        <f>STDEV(B93:K93)</f>
        <v>#DIV/0!</v>
      </c>
      <c r="O93" s="1" t="e">
        <f>M93-N93</f>
        <v>#DIV/0!</v>
      </c>
      <c r="P93" s="1" t="e">
        <f>M93+N93</f>
        <v>#DIV/0!</v>
      </c>
    </row>
    <row r="94" spans="1:16" ht="12.75" customHeight="1" x14ac:dyDescent="0.3">
      <c r="A94" s="1" t="s">
        <v>12</v>
      </c>
      <c r="B94" s="11"/>
      <c r="C94" s="12"/>
      <c r="D94" s="12"/>
      <c r="E94" s="12"/>
      <c r="F94" s="12"/>
      <c r="G94" s="12"/>
      <c r="H94" s="12"/>
      <c r="I94" s="12"/>
      <c r="J94" s="12"/>
      <c r="K94" s="12"/>
      <c r="M94" s="1" t="e">
        <f t="shared" ref="M94:M96" si="37">AVERAGE(B94:K94)</f>
        <v>#DIV/0!</v>
      </c>
      <c r="N94" s="1" t="e">
        <f t="shared" ref="N94:N97" si="38">STDEV(B94:K94)</f>
        <v>#DIV/0!</v>
      </c>
      <c r="O94" s="1" t="e">
        <f t="shared" ref="O94:O97" si="39">M94-N94</f>
        <v>#DIV/0!</v>
      </c>
      <c r="P94" s="1" t="e">
        <f t="shared" ref="P94:P97" si="40">M94+N94</f>
        <v>#DIV/0!</v>
      </c>
    </row>
    <row r="95" spans="1:16" ht="12.75" customHeight="1" x14ac:dyDescent="0.3">
      <c r="A95" s="1" t="s">
        <v>13</v>
      </c>
      <c r="B95" s="11"/>
      <c r="C95" s="12"/>
      <c r="D95" s="12"/>
      <c r="E95" s="12"/>
      <c r="F95" s="12"/>
      <c r="G95" s="12"/>
      <c r="H95" s="12"/>
      <c r="I95" s="12"/>
      <c r="J95" s="12"/>
      <c r="K95" s="12"/>
      <c r="M95" s="1" t="e">
        <f t="shared" si="37"/>
        <v>#DIV/0!</v>
      </c>
      <c r="N95" s="1" t="e">
        <f t="shared" si="38"/>
        <v>#DIV/0!</v>
      </c>
      <c r="O95" s="1" t="e">
        <f t="shared" si="39"/>
        <v>#DIV/0!</v>
      </c>
      <c r="P95" s="1" t="e">
        <f t="shared" si="40"/>
        <v>#DIV/0!</v>
      </c>
    </row>
    <row r="96" spans="1:16" ht="12.75" customHeight="1" x14ac:dyDescent="0.3">
      <c r="A96" s="1" t="s">
        <v>14</v>
      </c>
      <c r="B96" s="11"/>
      <c r="C96" s="12"/>
      <c r="D96" s="12"/>
      <c r="E96" s="12"/>
      <c r="F96" s="12"/>
      <c r="G96" s="12"/>
      <c r="H96" s="12"/>
      <c r="I96" s="12"/>
      <c r="J96" s="12"/>
      <c r="K96" s="12"/>
      <c r="M96" s="1" t="e">
        <f t="shared" si="37"/>
        <v>#DIV/0!</v>
      </c>
      <c r="N96" s="1" t="e">
        <f t="shared" si="38"/>
        <v>#DIV/0!</v>
      </c>
      <c r="O96" s="1" t="e">
        <f t="shared" si="39"/>
        <v>#DIV/0!</v>
      </c>
      <c r="P96" s="1" t="e">
        <f t="shared" si="40"/>
        <v>#DIV/0!</v>
      </c>
    </row>
    <row r="97" spans="1:16" ht="12.75" customHeight="1" x14ac:dyDescent="0.3">
      <c r="A97" s="1" t="s">
        <v>15</v>
      </c>
      <c r="B97" s="11"/>
      <c r="C97" s="12"/>
      <c r="D97" s="12"/>
      <c r="E97" s="12"/>
      <c r="F97" s="12"/>
      <c r="G97" s="12"/>
      <c r="H97" s="12"/>
      <c r="I97" s="12"/>
      <c r="J97" s="12"/>
      <c r="K97" s="12"/>
      <c r="M97" s="1" t="e">
        <f>AVERAGE(B97:K97)</f>
        <v>#DIV/0!</v>
      </c>
      <c r="N97" s="1" t="e">
        <f t="shared" si="38"/>
        <v>#DIV/0!</v>
      </c>
      <c r="O97" s="1" t="e">
        <f t="shared" si="39"/>
        <v>#DIV/0!</v>
      </c>
      <c r="P97" s="1" t="e">
        <f t="shared" si="40"/>
        <v>#DIV/0!</v>
      </c>
    </row>
    <row r="98" spans="1:16" ht="12.75" customHeight="1" x14ac:dyDescent="0.3">
      <c r="A98" s="1" t="s">
        <v>16</v>
      </c>
      <c r="B98" s="11"/>
      <c r="C98" s="12"/>
      <c r="D98" s="12"/>
      <c r="E98" s="12"/>
      <c r="F98" s="12"/>
      <c r="G98" s="12"/>
      <c r="H98" s="12"/>
      <c r="I98" s="12"/>
      <c r="J98" s="12"/>
      <c r="K98" s="12"/>
      <c r="M98" s="1" t="e">
        <f>AVERAGE(B98:K98)</f>
        <v>#DIV/0!</v>
      </c>
      <c r="N98" s="9" t="e">
        <f>STDEV(B98:K98)</f>
        <v>#DIV/0!</v>
      </c>
      <c r="O98" s="9" t="e">
        <f>M98-N98</f>
        <v>#DIV/0!</v>
      </c>
      <c r="P98" s="9" t="e">
        <f>M98+N98</f>
        <v>#DIV/0!</v>
      </c>
    </row>
    <row r="99" spans="1:16" ht="12.75" customHeight="1" x14ac:dyDescent="0.3">
      <c r="A99" s="1" t="s">
        <v>17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M99" s="9" t="e">
        <f t="shared" ref="M99" si="41">AVERAGE(B99:K99)</f>
        <v>#DIV/0!</v>
      </c>
      <c r="N99" s="9" t="e">
        <f t="shared" ref="N99" si="42">STDEV(B99:K99)</f>
        <v>#DIV/0!</v>
      </c>
      <c r="O99" s="9" t="e">
        <f>M99-N99</f>
        <v>#DIV/0!</v>
      </c>
      <c r="P99" s="9" t="e">
        <f>M99+N99</f>
        <v>#DIV/0!</v>
      </c>
    </row>
    <row r="100" spans="1:16" ht="13.8" x14ac:dyDescent="0.3"/>
    <row r="102" spans="1:16" ht="13.8" x14ac:dyDescent="0.3"/>
    <row r="103" spans="1:16" ht="13.95" customHeight="1" x14ac:dyDescent="0.3"/>
    <row r="104" spans="1:16" ht="13.8" x14ac:dyDescent="0.3"/>
    <row r="105" spans="1:16" ht="13.8" x14ac:dyDescent="0.3"/>
    <row r="106" spans="1:16" ht="13.8" x14ac:dyDescent="0.3"/>
    <row r="107" spans="1:16" ht="13.8" x14ac:dyDescent="0.3"/>
    <row r="108" spans="1:16" ht="13.8" x14ac:dyDescent="0.3"/>
    <row r="109" spans="1:16" ht="13.8" x14ac:dyDescent="0.3"/>
    <row r="110" spans="1:16" ht="13.8" x14ac:dyDescent="0.3"/>
    <row r="112" spans="1:16" ht="13.8" x14ac:dyDescent="0.3"/>
    <row r="114" ht="13.8" x14ac:dyDescent="0.3"/>
    <row r="115" ht="13.8" x14ac:dyDescent="0.3"/>
    <row r="116" ht="13.8" x14ac:dyDescent="0.3"/>
    <row r="124" ht="13.8" x14ac:dyDescent="0.3"/>
    <row r="126" ht="13.8" x14ac:dyDescent="0.3"/>
    <row r="127" ht="13.8" x14ac:dyDescent="0.3"/>
    <row r="128" ht="13.8" x14ac:dyDescent="0.3"/>
    <row r="134" ht="13.8" x14ac:dyDescent="0.3"/>
    <row r="136" ht="13.8" x14ac:dyDescent="0.3"/>
  </sheetData>
  <mergeCells count="16">
    <mergeCell ref="B79:K79"/>
    <mergeCell ref="B78:K78"/>
    <mergeCell ref="B90:K90"/>
    <mergeCell ref="B91:K91"/>
    <mergeCell ref="B65:K65"/>
    <mergeCell ref="B3:K3"/>
    <mergeCell ref="B4:K4"/>
    <mergeCell ref="B27:K27"/>
    <mergeCell ref="B28:K28"/>
    <mergeCell ref="B15:K15"/>
    <mergeCell ref="B16:K16"/>
    <mergeCell ref="B40:K40"/>
    <mergeCell ref="B41:K41"/>
    <mergeCell ref="B52:K52"/>
    <mergeCell ref="B53:K53"/>
    <mergeCell ref="B64:K64"/>
  </mergeCells>
  <conditionalFormatting sqref="B43:K43">
    <cfRule type="cellIs" dxfId="49" priority="197" operator="between">
      <formula>$N$43</formula>
      <formula>$O$43</formula>
    </cfRule>
  </conditionalFormatting>
  <conditionalFormatting sqref="B44:K44">
    <cfRule type="cellIs" dxfId="48" priority="207" operator="between">
      <formula>$N$44</formula>
      <formula>$O$44</formula>
    </cfRule>
  </conditionalFormatting>
  <conditionalFormatting sqref="B45:K45">
    <cfRule type="cellIs" dxfId="47" priority="199" operator="between">
      <formula>$N$45</formula>
      <formula>$O$45</formula>
    </cfRule>
  </conditionalFormatting>
  <conditionalFormatting sqref="B46:K46">
    <cfRule type="cellIs" dxfId="46" priority="201" operator="between">
      <formula>$N$46</formula>
      <formula>$O$46</formula>
    </cfRule>
  </conditionalFormatting>
  <conditionalFormatting sqref="B47:K47">
    <cfRule type="cellIs" dxfId="45" priority="203" operator="between">
      <formula>$N$47</formula>
      <formula>$O$47</formula>
    </cfRule>
  </conditionalFormatting>
  <conditionalFormatting sqref="B48:K48">
    <cfRule type="cellIs" dxfId="44" priority="40" operator="between">
      <formula>19.36</formula>
      <formula>20.36</formula>
    </cfRule>
  </conditionalFormatting>
  <conditionalFormatting sqref="B81:K81">
    <cfRule type="cellIs" dxfId="43" priority="10" operator="between">
      <formula>$O$81</formula>
      <formula>$P$81</formula>
    </cfRule>
  </conditionalFormatting>
  <conditionalFormatting sqref="B82:K82">
    <cfRule type="cellIs" dxfId="42" priority="9" operator="between">
      <formula>$O$82</formula>
      <formula>$P$82</formula>
    </cfRule>
  </conditionalFormatting>
  <conditionalFormatting sqref="B83:K83">
    <cfRule type="cellIs" dxfId="41" priority="8" operator="between">
      <formula>$O$83</formula>
      <formula>$P$83</formula>
    </cfRule>
  </conditionalFormatting>
  <conditionalFormatting sqref="B84:K84">
    <cfRule type="cellIs" dxfId="40" priority="7" operator="between">
      <formula>$O$84</formula>
      <formula>$P$84</formula>
    </cfRule>
  </conditionalFormatting>
  <conditionalFormatting sqref="B85:K85">
    <cfRule type="cellIs" dxfId="39" priority="6" operator="between">
      <formula>$O$85</formula>
      <formula>$P$85</formula>
    </cfRule>
  </conditionalFormatting>
  <conditionalFormatting sqref="B86:K8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" priority="24" operator="between">
      <formula>18.62</formula>
      <formula>20.62</formula>
    </cfRule>
  </conditionalFormatting>
  <conditionalFormatting sqref="B93:K93">
    <cfRule type="cellIs" dxfId="37" priority="5" operator="between">
      <formula>$O$93</formula>
      <formula>$P$93</formula>
    </cfRule>
  </conditionalFormatting>
  <conditionalFormatting sqref="B94:K94">
    <cfRule type="cellIs" dxfId="36" priority="4" operator="between">
      <formula>$O$94</formula>
      <formula>$P$94</formula>
    </cfRule>
  </conditionalFormatting>
  <conditionalFormatting sqref="B95:K95">
    <cfRule type="cellIs" dxfId="35" priority="3" operator="between">
      <formula>$O$95</formula>
      <formula>$P$95</formula>
    </cfRule>
  </conditionalFormatting>
  <conditionalFormatting sqref="B96:K96">
    <cfRule type="cellIs" dxfId="34" priority="2" operator="between">
      <formula>$O$96</formula>
      <formula>$P$96</formula>
    </cfRule>
  </conditionalFormatting>
  <conditionalFormatting sqref="B97:K97">
    <cfRule type="cellIs" dxfId="33" priority="1" operator="between">
      <formula>$O$97</formula>
      <formula>$P$97</formula>
    </cfRule>
  </conditionalFormatting>
  <conditionalFormatting sqref="B98:K9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" priority="17" operator="between">
      <formula>19.36</formula>
      <formula>21.36</formula>
    </cfRule>
  </conditionalFormatting>
  <conditionalFormatting sqref="B6:L6">
    <cfRule type="cellIs" dxfId="31" priority="150" operator="between">
      <formula>$O$6</formula>
      <formula>$P$6</formula>
    </cfRule>
  </conditionalFormatting>
  <conditionalFormatting sqref="B7:L7">
    <cfRule type="cellIs" dxfId="30" priority="149" operator="between">
      <formula>$O$7</formula>
      <formula>$P$7</formula>
    </cfRule>
  </conditionalFormatting>
  <conditionalFormatting sqref="B8:L8">
    <cfRule type="cellIs" dxfId="29" priority="148" operator="between">
      <formula>$O$8</formula>
      <formula>$P$8</formula>
    </cfRule>
  </conditionalFormatting>
  <conditionalFormatting sqref="B9:L9">
    <cfRule type="cellIs" dxfId="28" priority="147" operator="between">
      <formula>$O$9</formula>
      <formula>$P$9</formula>
    </cfRule>
  </conditionalFormatting>
  <conditionalFormatting sqref="B10:L10">
    <cfRule type="cellIs" dxfId="27" priority="94" operator="between">
      <formula>$O$10</formula>
      <formula>$P$10</formula>
    </cfRule>
  </conditionalFormatting>
  <conditionalFormatting sqref="B11:L11">
    <cfRule type="cellIs" dxfId="26" priority="74" operator="between">
      <formula>18.62</formula>
      <formula>20.62</formula>
    </cfRule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:L18">
    <cfRule type="cellIs" dxfId="25" priority="82" operator="between">
      <formula>$O$18</formula>
      <formula>$P$18</formula>
    </cfRule>
  </conditionalFormatting>
  <conditionalFormatting sqref="B19:L19">
    <cfRule type="cellIs" dxfId="24" priority="80" operator="between">
      <formula>$O$19</formula>
      <formula>$P$19</formula>
    </cfRule>
  </conditionalFormatting>
  <conditionalFormatting sqref="B20:L20">
    <cfRule type="cellIs" dxfId="23" priority="78" operator="between">
      <formula>$O$20</formula>
      <formula>$P$20</formula>
    </cfRule>
  </conditionalFormatting>
  <conditionalFormatting sqref="B21:L21">
    <cfRule type="cellIs" dxfId="22" priority="77" operator="between">
      <formula>$O$21</formula>
      <formula>$P$21</formula>
    </cfRule>
  </conditionalFormatting>
  <conditionalFormatting sqref="B22:L22">
    <cfRule type="cellIs" dxfId="21" priority="76" operator="between">
      <formula>$O$22</formula>
      <formula>$P$22</formula>
    </cfRule>
  </conditionalFormatting>
  <conditionalFormatting sqref="B23:L23">
    <cfRule type="cellIs" dxfId="20" priority="67" operator="between">
      <formula>18.62</formula>
      <formula>20.62</formula>
    </cfRule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:L30">
    <cfRule type="cellIs" dxfId="19" priority="72" operator="between">
      <formula>$O$30</formula>
      <formula>$P$30</formula>
    </cfRule>
  </conditionalFormatting>
  <conditionalFormatting sqref="B32:L32">
    <cfRule type="cellIs" dxfId="18" priority="70" operator="between">
      <formula>$O$32</formula>
      <formula>$P$32</formula>
    </cfRule>
  </conditionalFormatting>
  <conditionalFormatting sqref="B33:L33">
    <cfRule type="cellIs" dxfId="17" priority="69" operator="between">
      <formula>$O$33</formula>
      <formula>$P$33</formula>
    </cfRule>
  </conditionalFormatting>
  <conditionalFormatting sqref="B34:L34">
    <cfRule type="cellIs" dxfId="16" priority="68" operator="between">
      <formula>$O$34</formula>
      <formula>$P$34</formula>
    </cfRule>
  </conditionalFormatting>
  <conditionalFormatting sqref="B55:L55">
    <cfRule type="cellIs" dxfId="15" priority="60" operator="between">
      <formula>$O$55</formula>
      <formula>$P$55</formula>
    </cfRule>
  </conditionalFormatting>
  <conditionalFormatting sqref="B56:L56">
    <cfRule type="cellIs" dxfId="14" priority="39" operator="between">
      <formula>$O$56</formula>
      <formula>$P$56</formula>
    </cfRule>
  </conditionalFormatting>
  <conditionalFormatting sqref="B57:L57">
    <cfRule type="cellIs" dxfId="13" priority="38" operator="between">
      <formula>$O$57</formula>
      <formula>$P$57</formula>
    </cfRule>
  </conditionalFormatting>
  <conditionalFormatting sqref="B58:L58">
    <cfRule type="cellIs" dxfId="12" priority="37" operator="between">
      <formula>$O$58</formula>
      <formula>$P$58</formula>
    </cfRule>
  </conditionalFormatting>
  <conditionalFormatting sqref="B59:L59">
    <cfRule type="cellIs" dxfId="11" priority="36" operator="between">
      <formula>$O$59</formula>
      <formula>$P$59</formula>
    </cfRule>
  </conditionalFormatting>
  <conditionalFormatting sqref="B60:L60">
    <cfRule type="cellIs" dxfId="10" priority="35" operator="between">
      <formula>19.36</formula>
      <formula>21.36</formula>
    </cfRule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7:L67">
    <cfRule type="cellIs" dxfId="9" priority="29" operator="between">
      <formula>$O$67</formula>
      <formula>$P$67</formula>
    </cfRule>
  </conditionalFormatting>
  <conditionalFormatting sqref="B68:L68">
    <cfRule type="cellIs" dxfId="8" priority="28" operator="between">
      <formula>$O$68</formula>
      <formula>$P$68</formula>
    </cfRule>
  </conditionalFormatting>
  <conditionalFormatting sqref="B69:L69">
    <cfRule type="cellIs" dxfId="7" priority="27" operator="between">
      <formula>$O$69</formula>
      <formula>$P$69</formula>
    </cfRule>
  </conditionalFormatting>
  <conditionalFormatting sqref="B70:L70">
    <cfRule type="cellIs" dxfId="6" priority="50" operator="between">
      <formula>$O$70</formula>
      <formula>$P$70</formula>
    </cfRule>
  </conditionalFormatting>
  <conditionalFormatting sqref="B71:L71">
    <cfRule type="cellIs" dxfId="5" priority="49" operator="between">
      <formula>$O$71</formula>
      <formula>$P$71</formula>
    </cfRule>
  </conditionalFormatting>
  <conditionalFormatting sqref="B72:L72">
    <cfRule type="cellIs" dxfId="4" priority="54" operator="between">
      <formula>19.36</formula>
      <formula>21.36</formula>
    </cfRule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7:O37">
    <cfRule type="cellIs" dxfId="3" priority="138" operator="between">
      <formula>$O$8</formula>
      <formula>$P$8</formula>
    </cfRule>
  </conditionalFormatting>
  <conditionalFormatting sqref="B38:O38">
    <cfRule type="cellIs" dxfId="2" priority="137" operator="between">
      <formula>$O$9</formula>
      <formula>$P$9</formula>
    </cfRule>
  </conditionalFormatting>
  <conditionalFormatting sqref="C31:L31">
    <cfRule type="cellIs" dxfId="1" priority="71" operator="between">
      <formula>$O$31</formula>
      <formula>$P$31</formula>
    </cfRule>
  </conditionalFormatting>
  <conditionalFormatting sqref="L35">
    <cfRule type="cellIs" dxfId="0" priority="73" operator="between">
      <formula>18.62</formula>
      <formula>20.62</formula>
    </cfRule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Final Sensitivity Analysis</vt:lpstr>
      <vt:lpstr>BAD - Sensitivity analysis New</vt:lpstr>
      <vt:lpstr>Sensitivity analysis</vt:lpstr>
      <vt:lpstr>'BAD - Sensitivity analysis New'!Print_Area</vt:lpstr>
      <vt:lpstr>'Final Sensitivity Analysis'!Print_Area</vt:lpstr>
      <vt:lpstr>'Sensitivity analysis'!Print_Area</vt:lpstr>
    </vt:vector>
  </TitlesOfParts>
  <Manager/>
  <Company>University of Plymouth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Charlotte L Levy</dc:creator>
  <cp:keywords/>
  <dc:description/>
  <cp:lastModifiedBy>Bradley Moresby-White</cp:lastModifiedBy>
  <cp:revision/>
  <dcterms:created xsi:type="dcterms:W3CDTF">2014-10-02T10:32:01Z</dcterms:created>
  <dcterms:modified xsi:type="dcterms:W3CDTF">2025-08-11T19:23:56Z</dcterms:modified>
  <cp:category/>
  <cp:contentStatus/>
</cp:coreProperties>
</file>